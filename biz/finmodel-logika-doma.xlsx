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и" sheetId="1" state="visible" r:id="rId3"/>
    <sheet name="Допущения" sheetId="2" state="visible" r:id="rId4"/>
    <sheet name="Штат" sheetId="3" state="visible" r:id="rId5"/>
    <sheet name="Помесячно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<sst xmlns="http://schemas.openxmlformats.org/spreadsheetml/2006/main" count="194" uniqueCount="150">
  <si>
    <t xml:space="preserve">Логика Дома — финансовая модель на 3 года</t>
  </si>
  <si>
    <t xml:space="preserve">Сводка по годам; все цифры считаются из листов «Допущения», «Штат», «Помесячно». ₽.</t>
  </si>
  <si>
    <t xml:space="preserve">Показатель</t>
  </si>
  <si>
    <t xml:space="preserve">1-й год</t>
  </si>
  <si>
    <t xml:space="preserve">2-й год</t>
  </si>
  <si>
    <t xml:space="preserve">3-й год</t>
  </si>
  <si>
    <t xml:space="preserve">Итого 3 года</t>
  </si>
  <si>
    <t xml:space="preserve">Посетители сайта</t>
  </si>
  <si>
    <t xml:space="preserve">Сохранённые проекты</t>
  </si>
  <si>
    <t xml:space="preserve">Заявки на подбор подрядчика</t>
  </si>
  <si>
    <t xml:space="preserve">Эскизные проекты PDF, шт.</t>
  </si>
  <si>
    <t xml:space="preserve">Файлы для ArchiCAD, шт.</t>
  </si>
  <si>
    <t xml:space="preserve">Верификации, шт.</t>
  </si>
  <si>
    <t xml:space="preserve">АКР, шт.</t>
  </si>
  <si>
    <t xml:space="preserve">Сделки с СК через платформу, шт.</t>
  </si>
  <si>
    <t xml:space="preserve">Выручка</t>
  </si>
  <si>
    <t xml:space="preserve">Эскизные проекты PDF</t>
  </si>
  <si>
    <t xml:space="preserve">Файлы для ArchiCAD</t>
  </si>
  <si>
    <t xml:space="preserve">Верификация</t>
  </si>
  <si>
    <t xml:space="preserve">АКР</t>
  </si>
  <si>
    <t xml:space="preserve">Визуализации</t>
  </si>
  <si>
    <t xml:space="preserve">Рассылка и отчёт</t>
  </si>
  <si>
    <t xml:space="preserve">Полное сопровождение</t>
  </si>
  <si>
    <t xml:space="preserve">Продажа заявок СК</t>
  </si>
  <si>
    <t xml:space="preserve">Вознаграждение за горячих клиентов</t>
  </si>
  <si>
    <t xml:space="preserve">Выручка всего</t>
  </si>
  <si>
    <t xml:space="preserve">Расходы</t>
  </si>
  <si>
    <t xml:space="preserve">Архитекторы и конструкторы по заказам</t>
  </si>
  <si>
    <t xml:space="preserve">API визуализаций</t>
  </si>
  <si>
    <t xml:space="preserve">Эквайринг</t>
  </si>
  <si>
    <t xml:space="preserve">Налог УСН 6 %</t>
  </si>
  <si>
    <t xml:space="preserve">Зарплата с взносами</t>
  </si>
  <si>
    <t xml:space="preserve">Маркетинг</t>
  </si>
  <si>
    <t xml:space="preserve">Сервер, сервисы, прочее</t>
  </si>
  <si>
    <t xml:space="preserve">Расходы всего</t>
  </si>
  <si>
    <t xml:space="preserve">Прибыль (убыток)</t>
  </si>
  <si>
    <t xml:space="preserve">Рентабельность по прибыли</t>
  </si>
  <si>
    <t xml:space="preserve">Накопленный результат на конец года</t>
  </si>
  <si>
    <t xml:space="preserve">Человек в штате</t>
  </si>
  <si>
    <t xml:space="preserve">Максимальная потребность в деньгах (самый глубокий минус)</t>
  </si>
  <si>
    <t xml:space="preserve">Месяц выхода в плюс по накопленному результату</t>
  </si>
  <si>
    <t xml:space="preserve">Как читать: синие числа на листе «Допущения» и «Штат» — оценки модели, их нужно уточнять по фактической статистике (Метрика, CRM). Жёлтые — сильнее всего влияют на результат.</t>
  </si>
  <si>
    <t xml:space="preserve">Главный рычаг дохода — сделки с СК через платформу (2 % стоимости дома) и АКР; платные выгрузки и отчёты окупают маркетинг и дают поток клиентов.</t>
  </si>
  <si>
    <t xml:space="preserve">Налог: ИП на УСН «доходы» 6 %. Не учтён 1 % взносов с дохода свыше 300 тыс. ₽ (до лимита) — его можно уменьшить налог по правилам УСН.</t>
  </si>
  <si>
    <t xml:space="preserve">«Полное сопровождение» 14 900 ₽ платит клиент, строительная компания компенсирует ему эту сумму при договоре — для платформы это выручка.</t>
  </si>
  <si>
    <t xml:space="preserve">Финансовая модель «Логика Дома» на 3 года — допущения</t>
  </si>
  <si>
    <t xml:space="preserve">Синие числа — допущения, их можно менять; жёлтые — ключевые. Все остальные листы считаются формулами.</t>
  </si>
  <si>
    <t xml:space="preserve">Трафик и спрос</t>
  </si>
  <si>
    <t xml:space="preserve">Посетителей сайта в 1-й месяц</t>
  </si>
  <si>
    <t xml:space="preserve">Старт: SEO-страницы проектов, статьи, соцсети, реклама. Оценка модели — уточняйте по Метрике.</t>
  </si>
  <si>
    <t xml:space="preserve">Рост посетителей в месяц, 1-й год</t>
  </si>
  <si>
    <t xml:space="preserve">Быстрый рост на старте за счёт рекламы и SEO.</t>
  </si>
  <si>
    <t xml:space="preserve">Рост посетителей в месяц, 2-й год</t>
  </si>
  <si>
    <t xml:space="preserve">Оценка модели.</t>
  </si>
  <si>
    <t xml:space="preserve">Рост посетителей в месяц, 3-й год</t>
  </si>
  <si>
    <t xml:space="preserve">Оценка модели; выход в соседние регионы.</t>
  </si>
  <si>
    <t xml:space="preserve">Доля посетителей, работающих в конструкторе</t>
  </si>
  <si>
    <t xml:space="preserve">Конструктор — главная точка входа на сайт.</t>
  </si>
  <si>
    <t xml:space="preserve">Доля сохранивших проект (регистрация)</t>
  </si>
  <si>
    <t xml:space="preserve">Из работавших в конструкторе.</t>
  </si>
  <si>
    <t xml:space="preserve">Доля оставивших заявку на подбор подрядчика</t>
  </si>
  <si>
    <t xml:space="preserve">Конверсия в платные услуги (из сохранивших проект)</t>
  </si>
  <si>
    <t xml:space="preserve">Покупают эскизный проект PDF</t>
  </si>
  <si>
    <t xml:space="preserve">Покупают файлы для ArchiCAD</t>
  </si>
  <si>
    <t xml:space="preserve">В основном архитекторы и те, у кого свой архитектор.</t>
  </si>
  <si>
    <t xml:space="preserve">Заказывают верификацию</t>
  </si>
  <si>
    <t xml:space="preserve">Заказывают АКР</t>
  </si>
  <si>
    <t xml:space="preserve">Оценка модели; часть — после верификации.</t>
  </si>
  <si>
    <t xml:space="preserve">Покупают пакет визуализаций</t>
  </si>
  <si>
    <t xml:space="preserve">Выбирают «Рассылка и отчёт»</t>
  </si>
  <si>
    <t xml:space="preserve">Из заявок.</t>
  </si>
  <si>
    <t xml:space="preserve">Выбирают «Полное сопровождение»</t>
  </si>
  <si>
    <t xml:space="preserve">Заявки, проданные строительным компаниям</t>
  </si>
  <si>
    <t xml:space="preserve">Контакты по услуге «рассылка и отчёт» и бесплатные обращения — по сетке цен.</t>
  </si>
  <si>
    <t xml:space="preserve">Сделки с СК через платформу («горячий клиент»)</t>
  </si>
  <si>
    <t xml:space="preserve">Из заявок: созвон, согласованная цена, договор.</t>
  </si>
  <si>
    <t xml:space="preserve">Цены, ₽ (по сайту)</t>
  </si>
  <si>
    <t xml:space="preserve">Эскизный проект PDF</t>
  </si>
  <si>
    <t xml:space="preserve">Цена с сайта (решение владельца).</t>
  </si>
  <si>
    <t xml:space="preserve">Цена с сайта.</t>
  </si>
  <si>
    <t xml:space="preserve">АКР, средний чек</t>
  </si>
  <si>
    <t xml:space="preserve">На сайте «от 50 000 ₽»; средний чек — оценка модели.</t>
  </si>
  <si>
    <t xml:space="preserve">Пакет визуализаций, средний чек</t>
  </si>
  <si>
    <t xml:space="preserve">Пакет «10 за 450 ₽».</t>
  </si>
  <si>
    <t xml:space="preserve">Цена с сайта; СК компенсирует клиенту при договоре.</t>
  </si>
  <si>
    <t xml:space="preserve">Цена заявки для СК, средняя</t>
  </si>
  <si>
    <t xml:space="preserve">По сетке цены лида в CRM — уточните.</t>
  </si>
  <si>
    <t xml:space="preserve">Средняя стоимость домовладения</t>
  </si>
  <si>
    <t xml:space="preserve">Оценка модели для Перми.</t>
  </si>
  <si>
    <t xml:space="preserve">Вознаграждение за горячего клиента</t>
  </si>
  <si>
    <t xml:space="preserve">Оферта для компаний: 2 % стоимости домовладения.</t>
  </si>
  <si>
    <t xml:space="preserve">Переменные расходы</t>
  </si>
  <si>
    <t xml:space="preserve">Архитектор за верификацию, доля цены</t>
  </si>
  <si>
    <t xml:space="preserve">Если архитектор не в штате — по договору.</t>
  </si>
  <si>
    <t xml:space="preserve">Архитектор и конструктор за АКР, доля цены</t>
  </si>
  <si>
    <t xml:space="preserve">Себестоимость пакета визуализаций (API «Пользы»)</t>
  </si>
  <si>
    <t xml:space="preserve">≈ 4–6 ₽ за генерацию × 10 с учётом повторов.</t>
  </si>
  <si>
    <t xml:space="preserve">Эквайринг, доля оплат клиентов</t>
  </si>
  <si>
    <t xml:space="preserve">ЮKassa / Т-Банк: 2,5–3,5 %.</t>
  </si>
  <si>
    <t xml:space="preserve">Налог УСН «доходы»</t>
  </si>
  <si>
    <t xml:space="preserve">ИП на УСН 6 %; взносы ИП за себя — в постоянных расходах.</t>
  </si>
  <si>
    <t xml:space="preserve">Постоянные расходы, ₽ в месяц</t>
  </si>
  <si>
    <t xml:space="preserve">Сервер, домен, резервные копии</t>
  </si>
  <si>
    <t xml:space="preserve">VPS в России + хранение файлов.</t>
  </si>
  <si>
    <t xml:space="preserve">Сервисы: почта, телефония, CRM-уведомления</t>
  </si>
  <si>
    <t xml:space="preserve">Прочее: бухгалтерия, банк, офис</t>
  </si>
  <si>
    <t xml:space="preserve">Взносы ИП за себя (в среднем в месяц)</t>
  </si>
  <si>
    <t xml:space="preserve">Фиксированные взносы ≈ 54 тыс. ₽ в год + 1 % с дохода свыше 300 тыс. ₽ (1 % — в налогах не учтён, см. примечание).</t>
  </si>
  <si>
    <t xml:space="preserve">Маркетинг, 1-й год</t>
  </si>
  <si>
    <t xml:space="preserve">Яндекс Директ, ВК, блогеры.</t>
  </si>
  <si>
    <t xml:space="preserve">Маркетинг, 2-й год</t>
  </si>
  <si>
    <t xml:space="preserve">Маркетинг, 3-й год</t>
  </si>
  <si>
    <t xml:space="preserve">Начисления на зарплату (страховые взносы)</t>
  </si>
  <si>
    <t xml:space="preserve">Взносы работодателя ≈ 30 %.</t>
  </si>
  <si>
    <t xml:space="preserve">Штат и зарплаты (до вычета НДФЛ, ₽ в месяц); численность — по годам</t>
  </si>
  <si>
    <t xml:space="preserve">Роль</t>
  </si>
  <si>
    <t xml:space="preserve">Оклад, ₽/мес</t>
  </si>
  <si>
    <t xml:space="preserve">Что делает</t>
  </si>
  <si>
    <t xml:space="preserve">Менеджер по клиентам</t>
  </si>
  <si>
    <t xml:space="preserve">Заявки, созвоны, отчёты, полное сопровождение, договоры с СК</t>
  </si>
  <si>
    <t xml:space="preserve">Сметчик</t>
  </si>
  <si>
    <t xml:space="preserve">Расчёты, сравнение смет и технологий</t>
  </si>
  <si>
    <t xml:space="preserve">Маркетолог</t>
  </si>
  <si>
    <t xml:space="preserve">Контент, SEO, реклама, соцсети</t>
  </si>
  <si>
    <t xml:space="preserve">Архитектор (в штате)</t>
  </si>
  <si>
    <t xml:space="preserve">Верификация, правки, посадка на участок; с 2-го года вместо подряда</t>
  </si>
  <si>
    <t xml:space="preserve">Разработчик (поддержка сайта)</t>
  </si>
  <si>
    <t xml:space="preserve">Доработки и поддержка платформы</t>
  </si>
  <si>
    <t xml:space="preserve">Менеджер по работе с СК</t>
  </si>
  <si>
    <t xml:space="preserve">Подключение компаний, оплата заявок</t>
  </si>
  <si>
    <t xml:space="preserve">Фонд оплаты с взносами, ₽ в месяц</t>
  </si>
  <si>
    <t xml:space="preserve">Доля ставки 0,5 — частичная занятость или совмещение. Владелец (ИП) в штат не включён: его доход — прибыль.</t>
  </si>
  <si>
    <t xml:space="preserve">Помесячный расчёт, 36 месяцев (₽)</t>
  </si>
  <si>
    <t xml:space="preserve">Месяц</t>
  </si>
  <si>
    <t xml:space="preserve">Год</t>
  </si>
  <si>
    <t xml:space="preserve">Спрос</t>
  </si>
  <si>
    <t xml:space="preserve">Посетители</t>
  </si>
  <si>
    <t xml:space="preserve">Работали в конструкторе</t>
  </si>
  <si>
    <t xml:space="preserve">Сохранили проект</t>
  </si>
  <si>
    <t xml:space="preserve">Продажи, шт.</t>
  </si>
  <si>
    <t xml:space="preserve">Верификации</t>
  </si>
  <si>
    <t xml:space="preserve">Пакеты визуализаций</t>
  </si>
  <si>
    <t xml:space="preserve">Заявки, проданные СК</t>
  </si>
  <si>
    <t xml:space="preserve">Сделки с СК (горячие клиенты)</t>
  </si>
  <si>
    <t xml:space="preserve">Выручка, ₽</t>
  </si>
  <si>
    <t xml:space="preserve">Расходы, ₽</t>
  </si>
  <si>
    <t xml:space="preserve">Налог УСН</t>
  </si>
  <si>
    <t xml:space="preserve">Сервер, сервисы, прочее, взносы ИП</t>
  </si>
  <si>
    <t xml:space="preserve">Накопленный результат</t>
  </si>
  <si>
    <t xml:space="preserve">Архитекторы по заказам: в 1-й год верификацию делает подрядчик (50 % цены), со 2-го года — в основном штатный архитектор (доля подряда 40 %).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</si>
</sst>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9317B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B62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5B6272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B62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17B"/>
        <bgColor rgb="FF333399"/>
      </patternFill>
    </fill>
    <fill>
      <patternFill patternType="solid">
        <fgColor rgb="FFE9EEF8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272"/>
      <rgbColor rgb="FF969696"/>
      <rgbColor rgb="FF19317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6"/>
  </cols>
  <sheetData>
    <row r="1" customFormat="false" ht="18.5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SUMIF(Помесячно!$B$4:$AK$4,1,Помесячно!$B$6:$AK$6)</f>
        <v>87005.0021094742</v>
      </c>
      <c r="C5" s="6" t="n">
        <f aca="false">SUMIF(Помесячно!$B$4:$AK$4,2,Помесячно!$B$6:$AK$6)</f>
        <v>249584.11030479</v>
      </c>
      <c r="D5" s="6" t="n">
        <f aca="false">SUMIF(Помесячно!$B$4:$AK$4,3,Помесячно!$B$6:$AK$6)</f>
        <v>410534.456422278</v>
      </c>
      <c r="E5" s="7" t="n">
        <f aca="false">SUM(B5:D5)</f>
        <v>747123.568836542</v>
      </c>
    </row>
    <row r="6" customFormat="false" ht="15" hidden="false" customHeight="false" outlineLevel="0" collapsed="false">
      <c r="A6" s="5" t="s">
        <v>8</v>
      </c>
      <c r="B6" s="6" t="n">
        <f aca="false">SUMIF(Помесячно!$B$4:$AK$4,1,Помесячно!$B$8:$AK$8)</f>
        <v>2610.15006328423</v>
      </c>
      <c r="C6" s="6" t="n">
        <f aca="false">SUMIF(Помесячно!$B$4:$AK$4,2,Помесячно!$B$8:$AK$8)</f>
        <v>7487.52330914369</v>
      </c>
      <c r="D6" s="6" t="n">
        <f aca="false">SUMIF(Помесячно!$B$4:$AK$4,3,Помесячно!$B$8:$AK$8)</f>
        <v>12316.0336926683</v>
      </c>
      <c r="E6" s="7" t="n">
        <f aca="false">SUM(B6:D6)</f>
        <v>22413.7070650963</v>
      </c>
    </row>
    <row r="7" customFormat="false" ht="15" hidden="false" customHeight="false" outlineLevel="0" collapsed="false">
      <c r="A7" s="5" t="s">
        <v>9</v>
      </c>
      <c r="B7" s="6" t="n">
        <f aca="false">SUMIF(Помесячно!$B$4:$AK$4,1,Помесячно!$B$9:$AK$9)</f>
        <v>652.537515821056</v>
      </c>
      <c r="C7" s="6" t="n">
        <f aca="false">SUMIF(Помесячно!$B$4:$AK$4,2,Помесячно!$B$9:$AK$9)</f>
        <v>1871.88082728592</v>
      </c>
      <c r="D7" s="6" t="n">
        <f aca="false">SUMIF(Помесячно!$B$4:$AK$4,3,Помесячно!$B$9:$AK$9)</f>
        <v>3079.00842316709</v>
      </c>
      <c r="E7" s="7" t="n">
        <f aca="false">SUM(B7:D7)</f>
        <v>5603.42676627407</v>
      </c>
    </row>
    <row r="8" customFormat="false" ht="15" hidden="false" customHeight="false" outlineLevel="0" collapsed="false">
      <c r="A8" s="5" t="s">
        <v>10</v>
      </c>
      <c r="B8" s="6" t="n">
        <f aca="false">SUMIF(Помесячно!$B$4:$AK$4,1,Помесячно!$B$11:$AK$11)</f>
        <v>130.507503164211</v>
      </c>
      <c r="C8" s="6" t="n">
        <f aca="false">SUMIF(Помесячно!$B$4:$AK$4,2,Помесячно!$B$11:$AK$11)</f>
        <v>374.376165457185</v>
      </c>
      <c r="D8" s="6" t="n">
        <f aca="false">SUMIF(Помесячно!$B$4:$AK$4,3,Помесячно!$B$11:$AK$11)</f>
        <v>615.801684633417</v>
      </c>
      <c r="E8" s="7" t="n">
        <f aca="false">SUM(B8:D8)</f>
        <v>1120.68535325481</v>
      </c>
    </row>
    <row r="9" customFormat="false" ht="15" hidden="false" customHeight="false" outlineLevel="0" collapsed="false">
      <c r="A9" s="5" t="s">
        <v>11</v>
      </c>
      <c r="B9" s="6" t="n">
        <f aca="false">SUMIF(Помесячно!$B$4:$AK$4,1,Помесячно!$B$12:$AK$12)</f>
        <v>52.2030012656845</v>
      </c>
      <c r="C9" s="6" t="n">
        <f aca="false">SUMIF(Помесячно!$B$4:$AK$4,2,Помесячно!$B$12:$AK$12)</f>
        <v>149.750466182874</v>
      </c>
      <c r="D9" s="6" t="n">
        <f aca="false">SUMIF(Помесячно!$B$4:$AK$4,3,Помесячно!$B$12:$AK$12)</f>
        <v>246.320673853367</v>
      </c>
      <c r="E9" s="7" t="n">
        <f aca="false">SUM(B9:D9)</f>
        <v>448.274141301925</v>
      </c>
    </row>
    <row r="10" customFormat="false" ht="15" hidden="false" customHeight="false" outlineLevel="0" collapsed="false">
      <c r="A10" s="5" t="s">
        <v>12</v>
      </c>
      <c r="B10" s="6" t="n">
        <f aca="false">SUMIF(Помесячно!$B$4:$AK$4,1,Помесячно!$B$13:$AK$13)</f>
        <v>39.1522509492634</v>
      </c>
      <c r="C10" s="6" t="n">
        <f aca="false">SUMIF(Помесячно!$B$4:$AK$4,2,Помесячно!$B$13:$AK$13)</f>
        <v>112.312849637155</v>
      </c>
      <c r="D10" s="6" t="n">
        <f aca="false">SUMIF(Помесячно!$B$4:$AK$4,3,Помесячно!$B$13:$AK$13)</f>
        <v>184.740505390025</v>
      </c>
      <c r="E10" s="7" t="n">
        <f aca="false">SUM(B10:D10)</f>
        <v>336.205605976444</v>
      </c>
    </row>
    <row r="11" customFormat="false" ht="15" hidden="false" customHeight="false" outlineLevel="0" collapsed="false">
      <c r="A11" s="5" t="s">
        <v>13</v>
      </c>
      <c r="B11" s="6" t="n">
        <f aca="false">SUMIF(Помесячно!$B$4:$AK$4,1,Помесячно!$B$14:$AK$14)</f>
        <v>10.4406002531369</v>
      </c>
      <c r="C11" s="6" t="n">
        <f aca="false">SUMIF(Помесячно!$B$4:$AK$4,2,Помесячно!$B$14:$AK$14)</f>
        <v>29.9500932365748</v>
      </c>
      <c r="D11" s="6" t="n">
        <f aca="false">SUMIF(Помесячно!$B$4:$AK$4,3,Помесячно!$B$14:$AK$14)</f>
        <v>49.2641347706734</v>
      </c>
      <c r="E11" s="7" t="n">
        <f aca="false">SUM(B11:D11)</f>
        <v>89.6548282603851</v>
      </c>
    </row>
    <row r="12" customFormat="false" ht="15" hidden="false" customHeight="false" outlineLevel="0" collapsed="false">
      <c r="A12" s="5" t="s">
        <v>14</v>
      </c>
      <c r="B12" s="6" t="n">
        <f aca="false">SUMIF(Помесячно!$B$4:$AK$4,1,Помесячно!$B$19:$AK$19)</f>
        <v>19.5761254746317</v>
      </c>
      <c r="C12" s="6" t="n">
        <f aca="false">SUMIF(Помесячно!$B$4:$AK$4,2,Помесячно!$B$19:$AK$19)</f>
        <v>56.1564248185777</v>
      </c>
      <c r="D12" s="6" t="n">
        <f aca="false">SUMIF(Помесячно!$B$4:$AK$4,3,Помесячно!$B$19:$AK$19)</f>
        <v>92.3702526950126</v>
      </c>
      <c r="E12" s="7" t="n">
        <f aca="false">SUM(B12:D12)</f>
        <v>168.102802988222</v>
      </c>
    </row>
    <row r="13" customFormat="false" ht="15" hidden="false" customHeight="false" outlineLevel="0" collapsed="false">
      <c r="A13" s="8" t="s">
        <v>15</v>
      </c>
      <c r="B13" s="9"/>
      <c r="C13" s="9"/>
      <c r="D13" s="9"/>
      <c r="E13" s="9"/>
    </row>
    <row r="14" customFormat="false" ht="15" hidden="false" customHeight="false" outlineLevel="0" collapsed="false">
      <c r="A14" s="5" t="s">
        <v>16</v>
      </c>
      <c r="B14" s="6" t="n">
        <f aca="false">SUMIF(Помесячно!$B$4:$AK$4,1,Помесячно!$B$21:$AK$21)</f>
        <v>391522.509492634</v>
      </c>
      <c r="C14" s="6" t="n">
        <f aca="false">SUMIF(Помесячно!$B$4:$AK$4,2,Помесячно!$B$21:$AK$21)</f>
        <v>1123128.49637155</v>
      </c>
      <c r="D14" s="6" t="n">
        <f aca="false">SUMIF(Помесячно!$B$4:$AK$4,3,Помесячно!$B$21:$AK$21)</f>
        <v>1847405.05390025</v>
      </c>
      <c r="E14" s="7" t="n">
        <f aca="false">SUM(B14:D14)</f>
        <v>3362056.05976444</v>
      </c>
    </row>
    <row r="15" customFormat="false" ht="15" hidden="false" customHeight="false" outlineLevel="0" collapsed="false">
      <c r="A15" s="5" t="s">
        <v>17</v>
      </c>
      <c r="B15" s="6" t="n">
        <f aca="false">SUMIF(Помесячно!$B$4:$AK$4,1,Помесячно!$B$22:$AK$22)</f>
        <v>156609.003797054</v>
      </c>
      <c r="C15" s="6" t="n">
        <f aca="false">SUMIF(Помесячно!$B$4:$AK$4,2,Помесячно!$B$22:$AK$22)</f>
        <v>449251.398548622</v>
      </c>
      <c r="D15" s="6" t="n">
        <f aca="false">SUMIF(Помесячно!$B$4:$AK$4,3,Помесячно!$B$22:$AK$22)</f>
        <v>738962.021560101</v>
      </c>
      <c r="E15" s="7" t="n">
        <f aca="false">SUM(B15:D15)</f>
        <v>1344822.42390578</v>
      </c>
    </row>
    <row r="16" customFormat="false" ht="15" hidden="false" customHeight="false" outlineLevel="0" collapsed="false">
      <c r="A16" s="5" t="s">
        <v>18</v>
      </c>
      <c r="B16" s="6" t="n">
        <f aca="false">SUMIF(Помесячно!$B$4:$AK$4,1,Помесячно!$B$23:$AK$23)</f>
        <v>587283.764238951</v>
      </c>
      <c r="C16" s="6" t="n">
        <f aca="false">SUMIF(Помесячно!$B$4:$AK$4,2,Помесячно!$B$23:$AK$23)</f>
        <v>1684692.74455733</v>
      </c>
      <c r="D16" s="6" t="n">
        <f aca="false">SUMIF(Помесячно!$B$4:$AK$4,3,Помесячно!$B$23:$AK$23)</f>
        <v>2771107.58085038</v>
      </c>
      <c r="E16" s="7" t="n">
        <f aca="false">SUM(B16:D16)</f>
        <v>5043084.08964666</v>
      </c>
    </row>
    <row r="17" customFormat="false" ht="15" hidden="false" customHeight="false" outlineLevel="0" collapsed="false">
      <c r="A17" s="5" t="s">
        <v>19</v>
      </c>
      <c r="B17" s="6" t="n">
        <f aca="false">SUMIF(Помесячно!$B$4:$AK$4,1,Помесячно!$B$24:$AK$24)</f>
        <v>783045.018985268</v>
      </c>
      <c r="C17" s="6" t="n">
        <f aca="false">SUMIF(Помесячно!$B$4:$AK$4,2,Помесячно!$B$24:$AK$24)</f>
        <v>2246256.99274311</v>
      </c>
      <c r="D17" s="6" t="n">
        <f aca="false">SUMIF(Помесячно!$B$4:$AK$4,3,Помесячно!$B$24:$AK$24)</f>
        <v>3694810.1078005</v>
      </c>
      <c r="E17" s="7" t="n">
        <f aca="false">SUM(B17:D17)</f>
        <v>6724112.11952888</v>
      </c>
    </row>
    <row r="18" customFormat="false" ht="15" hidden="false" customHeight="false" outlineLevel="0" collapsed="false">
      <c r="A18" s="5" t="s">
        <v>20</v>
      </c>
      <c r="B18" s="6" t="n">
        <f aca="false">SUMIF(Помесячно!$B$4:$AK$4,1,Помесячно!$B$25:$AK$25)</f>
        <v>46982.7011391161</v>
      </c>
      <c r="C18" s="6" t="n">
        <f aca="false">SUMIF(Помесячно!$B$4:$AK$4,2,Помесячно!$B$25:$AK$25)</f>
        <v>134775.419564586</v>
      </c>
      <c r="D18" s="6" t="n">
        <f aca="false">SUMIF(Помесячно!$B$4:$AK$4,3,Помесячно!$B$25:$AK$25)</f>
        <v>221688.60646803</v>
      </c>
      <c r="E18" s="7" t="n">
        <f aca="false">SUM(B18:D18)</f>
        <v>403446.727171733</v>
      </c>
    </row>
    <row r="19" customFormat="false" ht="15" hidden="false" customHeight="false" outlineLevel="0" collapsed="false">
      <c r="A19" s="5" t="s">
        <v>21</v>
      </c>
      <c r="B19" s="6" t="n">
        <f aca="false">SUMIF(Помесячно!$B$4:$AK$4,1,Помесячно!$B$26:$AK$26)</f>
        <v>293641.882119475</v>
      </c>
      <c r="C19" s="6" t="n">
        <f aca="false">SUMIF(Помесячно!$B$4:$AK$4,2,Помесячно!$B$26:$AK$26)</f>
        <v>842346.372278665</v>
      </c>
      <c r="D19" s="6" t="n">
        <f aca="false">SUMIF(Помесячно!$B$4:$AK$4,3,Помесячно!$B$26:$AK$26)</f>
        <v>1385553.79042519</v>
      </c>
      <c r="E19" s="7" t="n">
        <f aca="false">SUM(B19:D19)</f>
        <v>2521542.04482333</v>
      </c>
    </row>
    <row r="20" customFormat="false" ht="15" hidden="false" customHeight="false" outlineLevel="0" collapsed="false">
      <c r="A20" s="5" t="s">
        <v>22</v>
      </c>
      <c r="B20" s="6" t="n">
        <f aca="false">SUMIF(Помесячно!$B$4:$AK$4,1,Помесячно!$B$27:$AK$27)</f>
        <v>777824.718858699</v>
      </c>
      <c r="C20" s="6" t="n">
        <f aca="false">SUMIF(Помесячно!$B$4:$AK$4,2,Помесячно!$B$27:$AK$27)</f>
        <v>2231281.94612482</v>
      </c>
      <c r="D20" s="6" t="n">
        <f aca="false">SUMIF(Помесячно!$B$4:$AK$4,3,Помесячно!$B$27:$AK$27)</f>
        <v>3670178.04041517</v>
      </c>
      <c r="E20" s="7" t="n">
        <f aca="false">SUM(B20:D20)</f>
        <v>6679284.70539869</v>
      </c>
    </row>
    <row r="21" customFormat="false" ht="15" hidden="false" customHeight="false" outlineLevel="0" collapsed="false">
      <c r="A21" s="5" t="s">
        <v>23</v>
      </c>
      <c r="B21" s="6" t="n">
        <f aca="false">SUMIF(Помесячно!$B$4:$AK$4,1,Помесячно!$B$28:$AK$28)</f>
        <v>652537.515821056</v>
      </c>
      <c r="C21" s="6" t="n">
        <f aca="false">SUMIF(Помесячно!$B$4:$AK$4,2,Помесячно!$B$28:$AK$28)</f>
        <v>1871880.82728592</v>
      </c>
      <c r="D21" s="6" t="n">
        <f aca="false">SUMIF(Помесячно!$B$4:$AK$4,3,Помесячно!$B$28:$AK$28)</f>
        <v>3079008.42316709</v>
      </c>
      <c r="E21" s="7" t="n">
        <f aca="false">SUM(B21:D21)</f>
        <v>5603426.76627407</v>
      </c>
    </row>
    <row r="22" customFormat="false" ht="15" hidden="false" customHeight="false" outlineLevel="0" collapsed="false">
      <c r="A22" s="5" t="s">
        <v>24</v>
      </c>
      <c r="B22" s="6" t="n">
        <f aca="false">SUMIF(Помесячно!$B$4:$AK$4,1,Помесячно!$B$29:$AK$29)</f>
        <v>2740657.56644844</v>
      </c>
      <c r="C22" s="6" t="n">
        <f aca="false">SUMIF(Помесячно!$B$4:$AK$4,2,Помесячно!$B$29:$AK$29)</f>
        <v>7861899.47460088</v>
      </c>
      <c r="D22" s="6" t="n">
        <f aca="false">SUMIF(Помесячно!$B$4:$AK$4,3,Помесячно!$B$29:$AK$29)</f>
        <v>12931835.3773018</v>
      </c>
      <c r="E22" s="7" t="n">
        <f aca="false">SUM(B22:D22)</f>
        <v>23534392.4183511</v>
      </c>
    </row>
    <row r="23" customFormat="false" ht="15" hidden="false" customHeight="false" outlineLevel="0" collapsed="false">
      <c r="A23" s="10" t="s">
        <v>25</v>
      </c>
      <c r="B23" s="11" t="n">
        <f aca="false">SUMIF(Помесячно!$B$4:$AK$4,1,Помесячно!$B$30:$AK$30)</f>
        <v>6430104.68090069</v>
      </c>
      <c r="C23" s="11" t="n">
        <f aca="false">SUMIF(Помесячно!$B$4:$AK$4,2,Помесячно!$B$30:$AK$30)</f>
        <v>18445513.6720755</v>
      </c>
      <c r="D23" s="11" t="n">
        <f aca="false">SUMIF(Помесячно!$B$4:$AK$4,3,Помесячно!$B$30:$AK$30)</f>
        <v>30340549.0018885</v>
      </c>
      <c r="E23" s="12" t="n">
        <f aca="false">SUM(B23:D23)</f>
        <v>55216167.3548646</v>
      </c>
    </row>
    <row r="24" customFormat="false" ht="15" hidden="false" customHeight="false" outlineLevel="0" collapsed="false">
      <c r="A24" s="8" t="s">
        <v>26</v>
      </c>
      <c r="B24" s="9"/>
      <c r="C24" s="9"/>
      <c r="D24" s="9"/>
      <c r="E24" s="9"/>
    </row>
    <row r="25" customFormat="false" ht="15" hidden="false" customHeight="false" outlineLevel="0" collapsed="false">
      <c r="A25" s="5" t="s">
        <v>27</v>
      </c>
      <c r="B25" s="6" t="n">
        <f aca="false">SUMIF(Помесячно!$B$4:$AK$4,1,Помесячно!$B$32:$AK$32)</f>
        <v>763468.893510636</v>
      </c>
      <c r="C25" s="6" t="n">
        <f aca="false">SUMIF(Помесячно!$B$4:$AK$4,2,Помесячно!$B$32:$AK$32)</f>
        <v>1684692.74455733</v>
      </c>
      <c r="D25" s="6" t="n">
        <f aca="false">SUMIF(Помесячно!$B$4:$AK$4,3,Помесячно!$B$32:$AK$32)</f>
        <v>2771107.58085038</v>
      </c>
      <c r="E25" s="7" t="n">
        <f aca="false">SUM(B25:D25)</f>
        <v>5219269.21891834</v>
      </c>
    </row>
    <row r="26" customFormat="false" ht="15" hidden="false" customHeight="false" outlineLevel="0" collapsed="false">
      <c r="A26" s="5" t="s">
        <v>28</v>
      </c>
      <c r="B26" s="6" t="n">
        <f aca="false">SUMIF(Помесячно!$B$4:$AK$4,1,Помесячно!$B$33:$AK$33)</f>
        <v>6264.36015188214</v>
      </c>
      <c r="C26" s="6" t="n">
        <f aca="false">SUMIF(Помесячно!$B$4:$AK$4,2,Помесячно!$B$33:$AK$33)</f>
        <v>17970.0559419449</v>
      </c>
      <c r="D26" s="6" t="n">
        <f aca="false">SUMIF(Помесячно!$B$4:$AK$4,3,Помесячно!$B$33:$AK$33)</f>
        <v>29558.480862404</v>
      </c>
      <c r="E26" s="7" t="n">
        <f aca="false">SUM(B26:D26)</f>
        <v>53792.896956231</v>
      </c>
    </row>
    <row r="27" customFormat="false" ht="15" hidden="false" customHeight="false" outlineLevel="0" collapsed="false">
      <c r="A27" s="5" t="s">
        <v>29</v>
      </c>
      <c r="B27" s="6" t="n">
        <f aca="false">SUMIF(Помесячно!$B$4:$AK$4,1,Помесячно!$B$34:$AK$34)</f>
        <v>91107.2879589359</v>
      </c>
      <c r="C27" s="6" t="n">
        <f aca="false">SUMIF(Помесячно!$B$4:$AK$4,2,Помесячно!$B$34:$AK$34)</f>
        <v>261352.001105661</v>
      </c>
      <c r="D27" s="6" t="n">
        <f aca="false">SUMIF(Помесячно!$B$4:$AK$4,3,Помесячно!$B$34:$AK$34)</f>
        <v>429891.156042588</v>
      </c>
      <c r="E27" s="7" t="n">
        <f aca="false">SUM(B27:D27)</f>
        <v>782350.445107185</v>
      </c>
    </row>
    <row r="28" customFormat="false" ht="15" hidden="false" customHeight="false" outlineLevel="0" collapsed="false">
      <c r="A28" s="5" t="s">
        <v>30</v>
      </c>
      <c r="B28" s="6" t="n">
        <f aca="false">SUMIF(Помесячно!$B$4:$AK$4,1,Помесячно!$B$35:$AK$35)</f>
        <v>385806.280854041</v>
      </c>
      <c r="C28" s="6" t="n">
        <f aca="false">SUMIF(Помесячно!$B$4:$AK$4,2,Помесячно!$B$35:$AK$35)</f>
        <v>1106730.82032453</v>
      </c>
      <c r="D28" s="6" t="n">
        <f aca="false">SUMIF(Помесячно!$B$4:$AK$4,3,Помесячно!$B$35:$AK$35)</f>
        <v>1820432.94011331</v>
      </c>
      <c r="E28" s="7" t="n">
        <f aca="false">SUM(B28:D28)</f>
        <v>3312970.04129188</v>
      </c>
    </row>
    <row r="29" customFormat="false" ht="15" hidden="false" customHeight="false" outlineLevel="0" collapsed="false">
      <c r="A29" s="5" t="s">
        <v>31</v>
      </c>
      <c r="B29" s="6" t="n">
        <f aca="false">SUMIF(Помесячно!$B$4:$AK$4,1,Помесячно!$B$36:$AK$36)</f>
        <v>3588000</v>
      </c>
      <c r="C29" s="6" t="n">
        <f aca="false">SUMIF(Помесячно!$B$4:$AK$4,2,Помесячно!$B$36:$AK$36)</f>
        <v>7644000</v>
      </c>
      <c r="D29" s="6" t="n">
        <f aca="false">SUMIF(Помесячно!$B$4:$AK$4,3,Помесячно!$B$36:$AK$36)</f>
        <v>11076000</v>
      </c>
      <c r="E29" s="7" t="n">
        <f aca="false">SUM(B29:D29)</f>
        <v>22308000</v>
      </c>
    </row>
    <row r="30" customFormat="false" ht="15" hidden="false" customHeight="false" outlineLevel="0" collapsed="false">
      <c r="A30" s="5" t="s">
        <v>32</v>
      </c>
      <c r="B30" s="6" t="n">
        <f aca="false">SUMIF(Помесячно!$B$4:$AK$4,1,Помесячно!$B$37:$AK$37)</f>
        <v>1800000</v>
      </c>
      <c r="C30" s="6" t="n">
        <f aca="false">SUMIF(Помесячно!$B$4:$AK$4,2,Помесячно!$B$37:$AK$37)</f>
        <v>3600000</v>
      </c>
      <c r="D30" s="6" t="n">
        <f aca="false">SUMIF(Помесячно!$B$4:$AK$4,3,Помесячно!$B$37:$AK$37)</f>
        <v>4800000</v>
      </c>
      <c r="E30" s="7" t="n">
        <f aca="false">SUM(B30:D30)</f>
        <v>10200000</v>
      </c>
    </row>
    <row r="31" customFormat="false" ht="15" hidden="false" customHeight="false" outlineLevel="0" collapsed="false">
      <c r="A31" s="5" t="s">
        <v>33</v>
      </c>
      <c r="B31" s="6" t="n">
        <f aca="false">SUMIF(Помесячно!$B$4:$AK$4,1,Помесячно!$B$38:$AK$38)</f>
        <v>660000</v>
      </c>
      <c r="C31" s="6" t="n">
        <f aca="false">SUMIF(Помесячно!$B$4:$AK$4,2,Помесячно!$B$38:$AK$38)</f>
        <v>660000</v>
      </c>
      <c r="D31" s="6" t="n">
        <f aca="false">SUMIF(Помесячно!$B$4:$AK$4,3,Помесячно!$B$38:$AK$38)</f>
        <v>660000</v>
      </c>
      <c r="E31" s="7" t="n">
        <f aca="false">SUM(B31:D31)</f>
        <v>1980000</v>
      </c>
    </row>
    <row r="32" customFormat="false" ht="15" hidden="false" customHeight="false" outlineLevel="0" collapsed="false">
      <c r="A32" s="10" t="s">
        <v>34</v>
      </c>
      <c r="B32" s="11" t="n">
        <f aca="false">SUMIF(Помесячно!$B$4:$AK$4,1,Помесячно!$B$39:$AK$39)</f>
        <v>7294646.8224755</v>
      </c>
      <c r="C32" s="11" t="n">
        <f aca="false">SUMIF(Помесячно!$B$4:$AK$4,2,Помесячно!$B$39:$AK$39)</f>
        <v>14974745.6219295</v>
      </c>
      <c r="D32" s="11" t="n">
        <f aca="false">SUMIF(Помесячно!$B$4:$AK$4,3,Помесячно!$B$39:$AK$39)</f>
        <v>21586990.1578687</v>
      </c>
      <c r="E32" s="12" t="n">
        <f aca="false">SUM(B32:D32)</f>
        <v>43856382.6022736</v>
      </c>
    </row>
    <row r="33" customFormat="false" ht="15" hidden="false" customHeight="false" outlineLevel="0" collapsed="false">
      <c r="A33" s="10" t="s">
        <v>35</v>
      </c>
      <c r="B33" s="11" t="n">
        <f aca="false">SUMIF(Помесячно!$B$4:$AK$4,1,Помесячно!$B$40:$AK$40)</f>
        <v>-864542.141574807</v>
      </c>
      <c r="C33" s="11" t="n">
        <f aca="false">SUMIF(Помесячно!$B$4:$AK$4,2,Помесячно!$B$40:$AK$40)</f>
        <v>3470768.05014602</v>
      </c>
      <c r="D33" s="11" t="n">
        <f aca="false">SUMIF(Помесячно!$B$4:$AK$4,3,Помесячно!$B$40:$AK$40)</f>
        <v>8753558.84401978</v>
      </c>
      <c r="E33" s="12" t="n">
        <f aca="false">SUM(B33:D33)</f>
        <v>11359784.752591</v>
      </c>
    </row>
    <row r="34" customFormat="false" ht="15" hidden="false" customHeight="false" outlineLevel="0" collapsed="false">
      <c r="A34" s="5" t="s">
        <v>36</v>
      </c>
      <c r="B34" s="13" t="n">
        <f aca="false">IF(B23=0,0,B33/B23)</f>
        <v>-0.13445226547287</v>
      </c>
      <c r="C34" s="13" t="n">
        <f aca="false">IF(C23=0,0,C33/C23)</f>
        <v>0.188163263536563</v>
      </c>
      <c r="D34" s="13" t="n">
        <f aca="false">IF(D23=0,0,D33/D23)</f>
        <v>0.288510232411251</v>
      </c>
      <c r="E34" s="14" t="n">
        <f aca="false">IF(E23=0,0,E33/E23)</f>
        <v>0.20573294556255</v>
      </c>
    </row>
    <row r="35" customFormat="false" ht="15" hidden="false" customHeight="false" outlineLevel="0" collapsed="false">
      <c r="A35" s="5" t="s">
        <v>37</v>
      </c>
      <c r="B35" s="6" t="n">
        <f aca="false">INDEX(Помесячно!$B$41:$AK$41,12)</f>
        <v>-864542.141574806</v>
      </c>
      <c r="C35" s="6" t="n">
        <f aca="false">INDEX(Помесячно!$B$41:$AK$41,24)</f>
        <v>2606225.90857122</v>
      </c>
      <c r="D35" s="6" t="n">
        <f aca="false">INDEX(Помесячно!$B$41:$AK$41,36)</f>
        <v>11359784.752591</v>
      </c>
      <c r="E35" s="2"/>
    </row>
    <row r="36" customFormat="false" ht="15" hidden="false" customHeight="false" outlineLevel="0" collapsed="false">
      <c r="A36" s="5" t="s">
        <v>38</v>
      </c>
      <c r="B36" s="15" t="n">
        <f aca="false">Штат!C10</f>
        <v>3</v>
      </c>
      <c r="C36" s="15" t="n">
        <f aca="false">Штат!D10</f>
        <v>6.5</v>
      </c>
      <c r="D36" s="15" t="n">
        <f aca="false">Штат!E10</f>
        <v>9</v>
      </c>
      <c r="E36" s="2"/>
    </row>
    <row r="37" customFormat="false" ht="15" hidden="false" customHeight="false" outlineLevel="0" collapsed="false">
      <c r="A37" s="10" t="s">
        <v>39</v>
      </c>
      <c r="B37" s="2"/>
      <c r="C37" s="2"/>
      <c r="D37" s="2"/>
      <c r="E37" s="12" t="n">
        <f aca="false">-MIN(0,MIN(Помесячно!$B$41:$AK$41))</f>
        <v>1578610.42957597</v>
      </c>
    </row>
    <row r="38" customFormat="false" ht="15" hidden="false" customHeight="false" outlineLevel="0" collapsed="false">
      <c r="A38" s="10" t="s">
        <v>40</v>
      </c>
      <c r="B38" s="2"/>
      <c r="C38" s="2"/>
      <c r="D38" s="2"/>
      <c r="E38" s="10" t="n">
        <f aca="false">IFERROR(INDEX(Помесячно!$B$3:$AK$3,MATCH(1,INDEX((Помесячно!$B$41:$AK$41&gt;0)*(Помесячно!$B$3:$AK$3&gt;=MATCH(MIN(Помесячно!$B$41:$AK$41),Помесячно!$B$41:$AK$41,0)),0),0)),"после 36-го")</f>
        <v>20</v>
      </c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16" t="s">
        <v>41</v>
      </c>
      <c r="B40" s="2"/>
      <c r="C40" s="2"/>
      <c r="D40" s="2"/>
      <c r="E40" s="2"/>
    </row>
    <row r="41" customFormat="false" ht="15" hidden="false" customHeight="false" outlineLevel="0" collapsed="false">
      <c r="A41" s="16" t="s">
        <v>42</v>
      </c>
      <c r="B41" s="2"/>
      <c r="C41" s="2"/>
      <c r="D41" s="2"/>
      <c r="E41" s="2"/>
    </row>
    <row r="42" customFormat="false" ht="15" hidden="false" customHeight="false" outlineLevel="0" collapsed="false">
      <c r="A42" s="16" t="s">
        <v>43</v>
      </c>
      <c r="B42" s="2"/>
      <c r="C42" s="2"/>
      <c r="D42" s="2"/>
      <c r="E42" s="2"/>
    </row>
    <row r="43" customFormat="false" ht="15" hidden="false" customHeight="false" outlineLevel="0" collapsed="false">
      <c r="A43" s="16" t="s">
        <v>44</v>
      </c>
      <c r="B43" s="2"/>
      <c r="C43" s="2"/>
      <c r="D43" s="2"/>
      <c r="E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7" t="s">
        <v>45</v>
      </c>
      <c r="B1" s="2"/>
      <c r="C1" s="2"/>
    </row>
    <row r="2" customFormat="false" ht="15" hidden="false" customHeight="false" outlineLevel="0" collapsed="false">
      <c r="A2" s="3" t="s">
        <v>46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8" t="s">
        <v>47</v>
      </c>
      <c r="B4" s="9"/>
      <c r="C4" s="9"/>
    </row>
    <row r="5" customFormat="false" ht="15" hidden="false" customHeight="false" outlineLevel="0" collapsed="false">
      <c r="A5" s="5" t="s">
        <v>48</v>
      </c>
      <c r="B5" s="18" t="n">
        <v>3000</v>
      </c>
      <c r="C5" s="16" t="s">
        <v>49</v>
      </c>
    </row>
    <row r="6" customFormat="false" ht="15" hidden="false" customHeight="false" outlineLevel="0" collapsed="false">
      <c r="A6" s="5" t="s">
        <v>50</v>
      </c>
      <c r="B6" s="19" t="n">
        <v>0.15</v>
      </c>
      <c r="C6" s="16" t="s">
        <v>51</v>
      </c>
    </row>
    <row r="7" customFormat="false" ht="15" hidden="false" customHeight="false" outlineLevel="0" collapsed="false">
      <c r="A7" s="5" t="s">
        <v>52</v>
      </c>
      <c r="B7" s="20" t="n">
        <v>0.06</v>
      </c>
      <c r="C7" s="16" t="s">
        <v>53</v>
      </c>
    </row>
    <row r="8" customFormat="false" ht="15" hidden="false" customHeight="false" outlineLevel="0" collapsed="false">
      <c r="A8" s="5" t="s">
        <v>54</v>
      </c>
      <c r="B8" s="20" t="n">
        <v>0.03</v>
      </c>
      <c r="C8" s="16" t="s">
        <v>55</v>
      </c>
    </row>
    <row r="9" customFormat="false" ht="15" hidden="false" customHeight="false" outlineLevel="0" collapsed="false">
      <c r="A9" s="5" t="s">
        <v>56</v>
      </c>
      <c r="B9" s="20" t="n">
        <v>0.3</v>
      </c>
      <c r="C9" s="16" t="s">
        <v>57</v>
      </c>
    </row>
    <row r="10" customFormat="false" ht="15" hidden="false" customHeight="false" outlineLevel="0" collapsed="false">
      <c r="A10" s="5" t="s">
        <v>58</v>
      </c>
      <c r="B10" s="19" t="n">
        <v>0.1</v>
      </c>
      <c r="C10" s="16" t="s">
        <v>59</v>
      </c>
    </row>
    <row r="11" customFormat="false" ht="15" hidden="false" customHeight="false" outlineLevel="0" collapsed="false">
      <c r="A11" s="5" t="s">
        <v>60</v>
      </c>
      <c r="B11" s="19" t="n">
        <v>0.025</v>
      </c>
      <c r="C11" s="16" t="s">
        <v>59</v>
      </c>
    </row>
    <row r="12" customFormat="false" ht="15" hidden="false" customHeight="false" outlineLevel="0" collapsed="false">
      <c r="A12" s="8" t="s">
        <v>61</v>
      </c>
      <c r="B12" s="9"/>
      <c r="C12" s="9"/>
    </row>
    <row r="13" customFormat="false" ht="15" hidden="false" customHeight="false" outlineLevel="0" collapsed="false">
      <c r="A13" s="5" t="s">
        <v>62</v>
      </c>
      <c r="B13" s="20" t="n">
        <v>0.05</v>
      </c>
      <c r="C13" s="16" t="s">
        <v>53</v>
      </c>
    </row>
    <row r="14" customFormat="false" ht="15" hidden="false" customHeight="false" outlineLevel="0" collapsed="false">
      <c r="A14" s="5" t="s">
        <v>63</v>
      </c>
      <c r="B14" s="20" t="n">
        <v>0.02</v>
      </c>
      <c r="C14" s="16" t="s">
        <v>64</v>
      </c>
    </row>
    <row r="15" customFormat="false" ht="15" hidden="false" customHeight="false" outlineLevel="0" collapsed="false">
      <c r="A15" s="5" t="s">
        <v>65</v>
      </c>
      <c r="B15" s="20" t="n">
        <v>0.015</v>
      </c>
      <c r="C15" s="16" t="s">
        <v>53</v>
      </c>
    </row>
    <row r="16" customFormat="false" ht="15" hidden="false" customHeight="false" outlineLevel="0" collapsed="false">
      <c r="A16" s="5" t="s">
        <v>66</v>
      </c>
      <c r="B16" s="20" t="n">
        <v>0.004</v>
      </c>
      <c r="C16" s="16" t="s">
        <v>67</v>
      </c>
    </row>
    <row r="17" customFormat="false" ht="15" hidden="false" customHeight="false" outlineLevel="0" collapsed="false">
      <c r="A17" s="5" t="s">
        <v>68</v>
      </c>
      <c r="B17" s="20" t="n">
        <v>0.04</v>
      </c>
      <c r="C17" s="16" t="s">
        <v>53</v>
      </c>
    </row>
    <row r="18" customFormat="false" ht="15" hidden="false" customHeight="false" outlineLevel="0" collapsed="false">
      <c r="A18" s="8" t="s">
        <v>9</v>
      </c>
      <c r="B18" s="9"/>
      <c r="C18" s="9"/>
    </row>
    <row r="19" customFormat="false" ht="15" hidden="false" customHeight="false" outlineLevel="0" collapsed="false">
      <c r="A19" s="5" t="s">
        <v>69</v>
      </c>
      <c r="B19" s="20" t="n">
        <v>0.3</v>
      </c>
      <c r="C19" s="16" t="s">
        <v>70</v>
      </c>
    </row>
    <row r="20" customFormat="false" ht="15" hidden="false" customHeight="false" outlineLevel="0" collapsed="false">
      <c r="A20" s="5" t="s">
        <v>71</v>
      </c>
      <c r="B20" s="20" t="n">
        <v>0.08</v>
      </c>
      <c r="C20" s="16" t="s">
        <v>70</v>
      </c>
    </row>
    <row r="21" customFormat="false" ht="15" hidden="false" customHeight="false" outlineLevel="0" collapsed="false">
      <c r="A21" s="5" t="s">
        <v>72</v>
      </c>
      <c r="B21" s="20" t="n">
        <v>0.4</v>
      </c>
      <c r="C21" s="16" t="s">
        <v>73</v>
      </c>
    </row>
    <row r="22" customFormat="false" ht="15" hidden="false" customHeight="false" outlineLevel="0" collapsed="false">
      <c r="A22" s="5" t="s">
        <v>74</v>
      </c>
      <c r="B22" s="19" t="n">
        <v>0.03</v>
      </c>
      <c r="C22" s="16" t="s">
        <v>75</v>
      </c>
    </row>
    <row r="23" customFormat="false" ht="15" hidden="false" customHeight="false" outlineLevel="0" collapsed="false">
      <c r="A23" s="8" t="s">
        <v>76</v>
      </c>
      <c r="B23" s="9"/>
      <c r="C23" s="9"/>
    </row>
    <row r="24" customFormat="false" ht="15" hidden="false" customHeight="false" outlineLevel="0" collapsed="false">
      <c r="A24" s="5" t="s">
        <v>77</v>
      </c>
      <c r="B24" s="21" t="n">
        <v>3000</v>
      </c>
      <c r="C24" s="16" t="s">
        <v>78</v>
      </c>
    </row>
    <row r="25" customFormat="false" ht="15" hidden="false" customHeight="false" outlineLevel="0" collapsed="false">
      <c r="A25" s="5" t="s">
        <v>17</v>
      </c>
      <c r="B25" s="21" t="n">
        <v>3000</v>
      </c>
      <c r="C25" s="16" t="s">
        <v>78</v>
      </c>
    </row>
    <row r="26" customFormat="false" ht="15" hidden="false" customHeight="false" outlineLevel="0" collapsed="false">
      <c r="A26" s="5" t="s">
        <v>18</v>
      </c>
      <c r="B26" s="21" t="n">
        <v>15000</v>
      </c>
      <c r="C26" s="16" t="s">
        <v>79</v>
      </c>
    </row>
    <row r="27" customFormat="false" ht="15" hidden="false" customHeight="false" outlineLevel="0" collapsed="false">
      <c r="A27" s="5" t="s">
        <v>80</v>
      </c>
      <c r="B27" s="21" t="n">
        <v>75000</v>
      </c>
      <c r="C27" s="16" t="s">
        <v>81</v>
      </c>
    </row>
    <row r="28" customFormat="false" ht="15" hidden="false" customHeight="false" outlineLevel="0" collapsed="false">
      <c r="A28" s="5" t="s">
        <v>82</v>
      </c>
      <c r="B28" s="21" t="n">
        <v>450</v>
      </c>
      <c r="C28" s="16" t="s">
        <v>83</v>
      </c>
    </row>
    <row r="29" customFormat="false" ht="15" hidden="false" customHeight="false" outlineLevel="0" collapsed="false">
      <c r="A29" s="5" t="s">
        <v>21</v>
      </c>
      <c r="B29" s="21" t="n">
        <v>1500</v>
      </c>
      <c r="C29" s="16" t="s">
        <v>78</v>
      </c>
    </row>
    <row r="30" customFormat="false" ht="15" hidden="false" customHeight="false" outlineLevel="0" collapsed="false">
      <c r="A30" s="5" t="s">
        <v>22</v>
      </c>
      <c r="B30" s="21" t="n">
        <v>14900</v>
      </c>
      <c r="C30" s="16" t="s">
        <v>84</v>
      </c>
    </row>
    <row r="31" customFormat="false" ht="15" hidden="false" customHeight="false" outlineLevel="0" collapsed="false">
      <c r="A31" s="5" t="s">
        <v>85</v>
      </c>
      <c r="B31" s="21" t="n">
        <v>2500</v>
      </c>
      <c r="C31" s="16" t="s">
        <v>86</v>
      </c>
    </row>
    <row r="32" customFormat="false" ht="15" hidden="false" customHeight="false" outlineLevel="0" collapsed="false">
      <c r="A32" s="5" t="s">
        <v>87</v>
      </c>
      <c r="B32" s="21" t="n">
        <v>7000000</v>
      </c>
      <c r="C32" s="16" t="s">
        <v>88</v>
      </c>
    </row>
    <row r="33" customFormat="false" ht="15" hidden="false" customHeight="false" outlineLevel="0" collapsed="false">
      <c r="A33" s="5" t="s">
        <v>89</v>
      </c>
      <c r="B33" s="19" t="n">
        <v>0.02</v>
      </c>
      <c r="C33" s="16" t="s">
        <v>90</v>
      </c>
    </row>
    <row r="34" customFormat="false" ht="15" hidden="false" customHeight="false" outlineLevel="0" collapsed="false">
      <c r="A34" s="8" t="s">
        <v>91</v>
      </c>
      <c r="B34" s="9"/>
      <c r="C34" s="9"/>
    </row>
    <row r="35" customFormat="false" ht="15" hidden="false" customHeight="false" outlineLevel="0" collapsed="false">
      <c r="A35" s="5" t="s">
        <v>92</v>
      </c>
      <c r="B35" s="20" t="n">
        <v>0.5</v>
      </c>
      <c r="C35" s="16" t="s">
        <v>93</v>
      </c>
    </row>
    <row r="36" customFormat="false" ht="15" hidden="false" customHeight="false" outlineLevel="0" collapsed="false">
      <c r="A36" s="5" t="s">
        <v>94</v>
      </c>
      <c r="B36" s="20" t="n">
        <v>0.6</v>
      </c>
      <c r="C36" s="16" t="s">
        <v>53</v>
      </c>
    </row>
    <row r="37" customFormat="false" ht="15" hidden="false" customHeight="false" outlineLevel="0" collapsed="false">
      <c r="A37" s="5" t="s">
        <v>95</v>
      </c>
      <c r="B37" s="21" t="n">
        <v>60</v>
      </c>
      <c r="C37" s="16" t="s">
        <v>96</v>
      </c>
    </row>
    <row r="38" customFormat="false" ht="15" hidden="false" customHeight="false" outlineLevel="0" collapsed="false">
      <c r="A38" s="5" t="s">
        <v>97</v>
      </c>
      <c r="B38" s="20" t="n">
        <v>0.03</v>
      </c>
      <c r="C38" s="16" t="s">
        <v>98</v>
      </c>
    </row>
    <row r="39" customFormat="false" ht="15" hidden="false" customHeight="false" outlineLevel="0" collapsed="false">
      <c r="A39" s="5" t="s">
        <v>99</v>
      </c>
      <c r="B39" s="20" t="n">
        <v>0.06</v>
      </c>
      <c r="C39" s="16" t="s">
        <v>100</v>
      </c>
    </row>
    <row r="40" customFormat="false" ht="15" hidden="false" customHeight="false" outlineLevel="0" collapsed="false">
      <c r="A40" s="8" t="s">
        <v>101</v>
      </c>
      <c r="B40" s="9"/>
      <c r="C40" s="9"/>
    </row>
    <row r="41" customFormat="false" ht="15" hidden="false" customHeight="false" outlineLevel="0" collapsed="false">
      <c r="A41" s="5" t="s">
        <v>102</v>
      </c>
      <c r="B41" s="21" t="n">
        <v>15000</v>
      </c>
      <c r="C41" s="16" t="s">
        <v>103</v>
      </c>
    </row>
    <row r="42" customFormat="false" ht="15" hidden="false" customHeight="false" outlineLevel="0" collapsed="false">
      <c r="A42" s="5" t="s">
        <v>104</v>
      </c>
      <c r="B42" s="21" t="n">
        <v>10000</v>
      </c>
      <c r="C42" s="16" t="s">
        <v>53</v>
      </c>
    </row>
    <row r="43" customFormat="false" ht="15" hidden="false" customHeight="false" outlineLevel="0" collapsed="false">
      <c r="A43" s="5" t="s">
        <v>105</v>
      </c>
      <c r="B43" s="21" t="n">
        <v>25000</v>
      </c>
      <c r="C43" s="16" t="s">
        <v>53</v>
      </c>
    </row>
    <row r="44" customFormat="false" ht="15" hidden="false" customHeight="false" outlineLevel="0" collapsed="false">
      <c r="A44" s="5" t="s">
        <v>106</v>
      </c>
      <c r="B44" s="21" t="n">
        <v>5000</v>
      </c>
      <c r="C44" s="16" t="s">
        <v>107</v>
      </c>
    </row>
    <row r="45" customFormat="false" ht="15" hidden="false" customHeight="false" outlineLevel="0" collapsed="false">
      <c r="A45" s="5" t="s">
        <v>108</v>
      </c>
      <c r="B45" s="18" t="n">
        <v>150000</v>
      </c>
      <c r="C45" s="16" t="s">
        <v>109</v>
      </c>
    </row>
    <row r="46" customFormat="false" ht="15" hidden="false" customHeight="false" outlineLevel="0" collapsed="false">
      <c r="A46" s="5" t="s">
        <v>110</v>
      </c>
      <c r="B46" s="21" t="n">
        <v>300000</v>
      </c>
      <c r="C46" s="16" t="s">
        <v>53</v>
      </c>
    </row>
    <row r="47" customFormat="false" ht="15" hidden="false" customHeight="false" outlineLevel="0" collapsed="false">
      <c r="A47" s="5" t="s">
        <v>111</v>
      </c>
      <c r="B47" s="21" t="n">
        <v>400000</v>
      </c>
      <c r="C47" s="16" t="s">
        <v>53</v>
      </c>
    </row>
    <row r="48" customFormat="false" ht="15" hidden="false" customHeight="false" outlineLevel="0" collapsed="false">
      <c r="A48" s="5" t="s">
        <v>112</v>
      </c>
      <c r="B48" s="20" t="n">
        <v>0.3</v>
      </c>
      <c r="C48" s="16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22" t="s">
        <v>114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3" t="s">
        <v>115</v>
      </c>
      <c r="B3" s="23" t="s">
        <v>116</v>
      </c>
      <c r="C3" s="23" t="s">
        <v>3</v>
      </c>
      <c r="D3" s="23" t="s">
        <v>4</v>
      </c>
      <c r="E3" s="23" t="s">
        <v>5</v>
      </c>
      <c r="F3" s="23" t="s">
        <v>117</v>
      </c>
    </row>
    <row r="4" customFormat="false" ht="15" hidden="false" customHeight="false" outlineLevel="0" collapsed="false">
      <c r="A4" s="5" t="s">
        <v>118</v>
      </c>
      <c r="B4" s="21" t="n">
        <v>70000</v>
      </c>
      <c r="C4" s="24" t="n">
        <v>1</v>
      </c>
      <c r="D4" s="24" t="n">
        <v>2</v>
      </c>
      <c r="E4" s="24" t="n">
        <v>3</v>
      </c>
      <c r="F4" s="16" t="s">
        <v>119</v>
      </c>
    </row>
    <row r="5" customFormat="false" ht="15" hidden="false" customHeight="false" outlineLevel="0" collapsed="false">
      <c r="A5" s="5" t="s">
        <v>120</v>
      </c>
      <c r="B5" s="21" t="n">
        <v>60000</v>
      </c>
      <c r="C5" s="24" t="n">
        <v>0.5</v>
      </c>
      <c r="D5" s="24" t="n">
        <v>1</v>
      </c>
      <c r="E5" s="24" t="n">
        <v>1</v>
      </c>
      <c r="F5" s="16" t="s">
        <v>121</v>
      </c>
    </row>
    <row r="6" customFormat="false" ht="15" hidden="false" customHeight="false" outlineLevel="0" collapsed="false">
      <c r="A6" s="5" t="s">
        <v>122</v>
      </c>
      <c r="B6" s="21" t="n">
        <v>70000</v>
      </c>
      <c r="C6" s="24" t="n">
        <v>1</v>
      </c>
      <c r="D6" s="24" t="n">
        <v>1</v>
      </c>
      <c r="E6" s="24" t="n">
        <v>1</v>
      </c>
      <c r="F6" s="16" t="s">
        <v>123</v>
      </c>
    </row>
    <row r="7" customFormat="false" ht="15" hidden="false" customHeight="false" outlineLevel="0" collapsed="false">
      <c r="A7" s="5" t="s">
        <v>124</v>
      </c>
      <c r="B7" s="21" t="n">
        <v>90000</v>
      </c>
      <c r="C7" s="24" t="n">
        <v>0</v>
      </c>
      <c r="D7" s="24" t="n">
        <v>1</v>
      </c>
      <c r="E7" s="24" t="n">
        <v>2</v>
      </c>
      <c r="F7" s="16" t="s">
        <v>125</v>
      </c>
    </row>
    <row r="8" customFormat="false" ht="15" hidden="false" customHeight="false" outlineLevel="0" collapsed="false">
      <c r="A8" s="5" t="s">
        <v>126</v>
      </c>
      <c r="B8" s="21" t="n">
        <v>120000</v>
      </c>
      <c r="C8" s="24" t="n">
        <v>0.5</v>
      </c>
      <c r="D8" s="24" t="n">
        <v>0.5</v>
      </c>
      <c r="E8" s="24" t="n">
        <v>1</v>
      </c>
      <c r="F8" s="16" t="s">
        <v>127</v>
      </c>
    </row>
    <row r="9" customFormat="false" ht="15" hidden="false" customHeight="false" outlineLevel="0" collapsed="false">
      <c r="A9" s="5" t="s">
        <v>128</v>
      </c>
      <c r="B9" s="21" t="n">
        <v>70000</v>
      </c>
      <c r="C9" s="24" t="n">
        <v>0</v>
      </c>
      <c r="D9" s="24" t="n">
        <v>1</v>
      </c>
      <c r="E9" s="24" t="n">
        <v>1</v>
      </c>
      <c r="F9" s="16" t="s">
        <v>129</v>
      </c>
    </row>
    <row r="10" customFormat="false" ht="15" hidden="false" customHeight="false" outlineLevel="0" collapsed="false">
      <c r="A10" s="10" t="s">
        <v>38</v>
      </c>
      <c r="B10" s="2"/>
      <c r="C10" s="25" t="n">
        <f aca="false">SUM(C4:C9)</f>
        <v>3</v>
      </c>
      <c r="D10" s="25" t="n">
        <f aca="false">SUM(D4:D9)</f>
        <v>6.5</v>
      </c>
      <c r="E10" s="25" t="n">
        <f aca="false">SUM(E4:E9)</f>
        <v>9</v>
      </c>
      <c r="F10" s="2"/>
    </row>
    <row r="11" customFormat="false" ht="15" hidden="false" customHeight="false" outlineLevel="0" collapsed="false">
      <c r="A11" s="10" t="s">
        <v>130</v>
      </c>
      <c r="B11" s="2"/>
      <c r="C11" s="12" t="n">
        <f aca="false">SUMPRODUCT($B$4:$B$9,C4:C9)*(1+Допущения!$B$48)</f>
        <v>299000</v>
      </c>
      <c r="D11" s="12" t="n">
        <f aca="false">SUMPRODUCT($B$4:$B$9,D4:D9)*(1+Допущения!$B$48)</f>
        <v>637000</v>
      </c>
      <c r="E11" s="12" t="n">
        <f aca="false">SUMPRODUCT($B$4:$B$9,E4:E9)*(1+Допущения!$B$48)</f>
        <v>923000</v>
      </c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6" t="s">
        <v>131</v>
      </c>
      <c r="B13" s="2"/>
      <c r="C13" s="2"/>
      <c r="D13" s="2"/>
      <c r="E13" s="2"/>
      <c r="F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7" min="2" style="0" width="11"/>
  </cols>
  <sheetData>
    <row r="1" customFormat="false" ht="16.15" hidden="false" customHeight="false" outlineLevel="0" collapsed="false">
      <c r="A1" s="2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15" hidden="false" customHeight="false" outlineLevel="0" collapsed="false">
      <c r="A3" s="5" t="s">
        <v>133</v>
      </c>
      <c r="B3" s="10" t="n">
        <v>1</v>
      </c>
      <c r="C3" s="10" t="n">
        <v>2</v>
      </c>
      <c r="D3" s="10" t="n">
        <v>3</v>
      </c>
      <c r="E3" s="10" t="n">
        <v>4</v>
      </c>
      <c r="F3" s="10" t="n">
        <v>5</v>
      </c>
      <c r="G3" s="10" t="n">
        <v>6</v>
      </c>
      <c r="H3" s="10" t="n">
        <v>7</v>
      </c>
      <c r="I3" s="10" t="n">
        <v>8</v>
      </c>
      <c r="J3" s="10" t="n">
        <v>9</v>
      </c>
      <c r="K3" s="10" t="n">
        <v>10</v>
      </c>
      <c r="L3" s="10" t="n">
        <v>11</v>
      </c>
      <c r="M3" s="10" t="n">
        <v>12</v>
      </c>
      <c r="N3" s="10" t="n">
        <v>13</v>
      </c>
      <c r="O3" s="10" t="n">
        <v>14</v>
      </c>
      <c r="P3" s="10" t="n">
        <v>15</v>
      </c>
      <c r="Q3" s="10" t="n">
        <v>16</v>
      </c>
      <c r="R3" s="10" t="n">
        <v>17</v>
      </c>
      <c r="S3" s="10" t="n">
        <v>18</v>
      </c>
      <c r="T3" s="10" t="n">
        <v>19</v>
      </c>
      <c r="U3" s="10" t="n">
        <v>20</v>
      </c>
      <c r="V3" s="10" t="n">
        <v>21</v>
      </c>
      <c r="W3" s="10" t="n">
        <v>22</v>
      </c>
      <c r="X3" s="10" t="n">
        <v>23</v>
      </c>
      <c r="Y3" s="10" t="n">
        <v>24</v>
      </c>
      <c r="Z3" s="10" t="n">
        <v>25</v>
      </c>
      <c r="AA3" s="10" t="n">
        <v>26</v>
      </c>
      <c r="AB3" s="10" t="n">
        <v>27</v>
      </c>
      <c r="AC3" s="10" t="n">
        <v>28</v>
      </c>
      <c r="AD3" s="10" t="n">
        <v>29</v>
      </c>
      <c r="AE3" s="10" t="n">
        <v>30</v>
      </c>
      <c r="AF3" s="10" t="n">
        <v>31</v>
      </c>
      <c r="AG3" s="10" t="n">
        <v>32</v>
      </c>
      <c r="AH3" s="10" t="n">
        <v>33</v>
      </c>
      <c r="AI3" s="10" t="n">
        <v>34</v>
      </c>
      <c r="AJ3" s="10" t="n">
        <v>35</v>
      </c>
      <c r="AK3" s="10" t="n">
        <v>36</v>
      </c>
    </row>
    <row r="4" customFormat="false" ht="15" hidden="false" customHeight="false" outlineLevel="0" collapsed="false">
      <c r="A4" s="5" t="s">
        <v>134</v>
      </c>
      <c r="B4" s="5" t="n">
        <f aca="false">INT((B3-1)/12)+1</f>
        <v>1</v>
      </c>
      <c r="C4" s="5" t="n">
        <f aca="false">INT((C3-1)/12)+1</f>
        <v>1</v>
      </c>
      <c r="D4" s="5" t="n">
        <f aca="false">INT((D3-1)/12)+1</f>
        <v>1</v>
      </c>
      <c r="E4" s="5" t="n">
        <f aca="false">INT((E3-1)/12)+1</f>
        <v>1</v>
      </c>
      <c r="F4" s="5" t="n">
        <f aca="false">INT((F3-1)/12)+1</f>
        <v>1</v>
      </c>
      <c r="G4" s="5" t="n">
        <f aca="false">INT((G3-1)/12)+1</f>
        <v>1</v>
      </c>
      <c r="H4" s="5" t="n">
        <f aca="false">INT((H3-1)/12)+1</f>
        <v>1</v>
      </c>
      <c r="I4" s="5" t="n">
        <f aca="false">INT((I3-1)/12)+1</f>
        <v>1</v>
      </c>
      <c r="J4" s="5" t="n">
        <f aca="false">INT((J3-1)/12)+1</f>
        <v>1</v>
      </c>
      <c r="K4" s="5" t="n">
        <f aca="false">INT((K3-1)/12)+1</f>
        <v>1</v>
      </c>
      <c r="L4" s="5" t="n">
        <f aca="false">INT((L3-1)/12)+1</f>
        <v>1</v>
      </c>
      <c r="M4" s="5" t="n">
        <f aca="false">INT((M3-1)/12)+1</f>
        <v>1</v>
      </c>
      <c r="N4" s="5" t="n">
        <f aca="false">INT((N3-1)/12)+1</f>
        <v>2</v>
      </c>
      <c r="O4" s="5" t="n">
        <f aca="false">INT((O3-1)/12)+1</f>
        <v>2</v>
      </c>
      <c r="P4" s="5" t="n">
        <f aca="false">INT((P3-1)/12)+1</f>
        <v>2</v>
      </c>
      <c r="Q4" s="5" t="n">
        <f aca="false">INT((Q3-1)/12)+1</f>
        <v>2</v>
      </c>
      <c r="R4" s="5" t="n">
        <f aca="false">INT((R3-1)/12)+1</f>
        <v>2</v>
      </c>
      <c r="S4" s="5" t="n">
        <f aca="false">INT((S3-1)/12)+1</f>
        <v>2</v>
      </c>
      <c r="T4" s="5" t="n">
        <f aca="false">INT((T3-1)/12)+1</f>
        <v>2</v>
      </c>
      <c r="U4" s="5" t="n">
        <f aca="false">INT((U3-1)/12)+1</f>
        <v>2</v>
      </c>
      <c r="V4" s="5" t="n">
        <f aca="false">INT((V3-1)/12)+1</f>
        <v>2</v>
      </c>
      <c r="W4" s="5" t="n">
        <f aca="false">INT((W3-1)/12)+1</f>
        <v>2</v>
      </c>
      <c r="X4" s="5" t="n">
        <f aca="false">INT((X3-1)/12)+1</f>
        <v>2</v>
      </c>
      <c r="Y4" s="5" t="n">
        <f aca="false">INT((Y3-1)/12)+1</f>
        <v>2</v>
      </c>
      <c r="Z4" s="5" t="n">
        <f aca="false">INT((Z3-1)/12)+1</f>
        <v>3</v>
      </c>
      <c r="AA4" s="5" t="n">
        <f aca="false">INT((AA3-1)/12)+1</f>
        <v>3</v>
      </c>
      <c r="AB4" s="5" t="n">
        <f aca="false">INT((AB3-1)/12)+1</f>
        <v>3</v>
      </c>
      <c r="AC4" s="5" t="n">
        <f aca="false">INT((AC3-1)/12)+1</f>
        <v>3</v>
      </c>
      <c r="AD4" s="5" t="n">
        <f aca="false">INT((AD3-1)/12)+1</f>
        <v>3</v>
      </c>
      <c r="AE4" s="5" t="n">
        <f aca="false">INT((AE3-1)/12)+1</f>
        <v>3</v>
      </c>
      <c r="AF4" s="5" t="n">
        <f aca="false">INT((AF3-1)/12)+1</f>
        <v>3</v>
      </c>
      <c r="AG4" s="5" t="n">
        <f aca="false">INT((AG3-1)/12)+1</f>
        <v>3</v>
      </c>
      <c r="AH4" s="5" t="n">
        <f aca="false">INT((AH3-1)/12)+1</f>
        <v>3</v>
      </c>
      <c r="AI4" s="5" t="n">
        <f aca="false">INT((AI3-1)/12)+1</f>
        <v>3</v>
      </c>
      <c r="AJ4" s="5" t="n">
        <f aca="false">INT((AJ3-1)/12)+1</f>
        <v>3</v>
      </c>
      <c r="AK4" s="5" t="n">
        <f aca="false">INT((AK3-1)/12)+1</f>
        <v>3</v>
      </c>
    </row>
    <row r="5" customFormat="false" ht="15" hidden="false" customHeight="false" outlineLevel="0" collapsed="false">
      <c r="A5" s="8" t="s">
        <v>135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Format="false" ht="15" hidden="false" customHeight="false" outlineLevel="0" collapsed="false">
      <c r="A6" s="5" t="s">
        <v>136</v>
      </c>
      <c r="B6" s="27" t="n">
        <f aca="false">Допущения!$B$5</f>
        <v>3000</v>
      </c>
      <c r="C6" s="27" t="n">
        <f aca="false">B6*(1+CHOOSE(C4,Допущения!$B$6,Допущения!$B$7,Допущения!$B$8))</f>
        <v>3450</v>
      </c>
      <c r="D6" s="27" t="n">
        <f aca="false">C6*(1+CHOOSE(D4,Допущения!$B$6,Допущения!$B$7,Допущения!$B$8))</f>
        <v>3967.5</v>
      </c>
      <c r="E6" s="27" t="n">
        <f aca="false">D6*(1+CHOOSE(E4,Допущения!$B$6,Допущения!$B$7,Допущения!$B$8))</f>
        <v>4562.625</v>
      </c>
      <c r="F6" s="27" t="n">
        <f aca="false">E6*(1+CHOOSE(F4,Допущения!$B$6,Допущения!$B$7,Допущения!$B$8))</f>
        <v>5247.01875</v>
      </c>
      <c r="G6" s="27" t="n">
        <f aca="false">F6*(1+CHOOSE(G4,Допущения!$B$6,Допущения!$B$7,Допущения!$B$8))</f>
        <v>6034.0715625</v>
      </c>
      <c r="H6" s="27" t="n">
        <f aca="false">G6*(1+CHOOSE(H4,Допущения!$B$6,Допущения!$B$7,Допущения!$B$8))</f>
        <v>6939.182296875</v>
      </c>
      <c r="I6" s="27" t="n">
        <f aca="false">H6*(1+CHOOSE(I4,Допущения!$B$6,Допущения!$B$7,Допущения!$B$8))</f>
        <v>7980.05964140625</v>
      </c>
      <c r="J6" s="27" t="n">
        <f aca="false">I6*(1+CHOOSE(J4,Допущения!$B$6,Допущения!$B$7,Допущения!$B$8))</f>
        <v>9177.06858761718</v>
      </c>
      <c r="K6" s="27" t="n">
        <f aca="false">J6*(1+CHOOSE(K4,Допущения!$B$6,Допущения!$B$7,Допущения!$B$8))</f>
        <v>10553.6288757598</v>
      </c>
      <c r="L6" s="27" t="n">
        <f aca="false">K6*(1+CHOOSE(L4,Допущения!$B$6,Допущения!$B$7,Допущения!$B$8))</f>
        <v>12136.6732071237</v>
      </c>
      <c r="M6" s="27" t="n">
        <f aca="false">L6*(1+CHOOSE(M4,Допущения!$B$6,Допущения!$B$7,Допущения!$B$8))</f>
        <v>13957.1741881923</v>
      </c>
      <c r="N6" s="27" t="n">
        <f aca="false">M6*(1+CHOOSE(N4,Допущения!$B$6,Допущения!$B$7,Допущения!$B$8))</f>
        <v>14794.6046394838</v>
      </c>
      <c r="O6" s="27" t="n">
        <f aca="false">N6*(1+CHOOSE(O4,Допущения!$B$6,Допущения!$B$7,Допущения!$B$8))</f>
        <v>15682.2809178528</v>
      </c>
      <c r="P6" s="27" t="n">
        <f aca="false">O6*(1+CHOOSE(P4,Допущения!$B$6,Допущения!$B$7,Допущения!$B$8))</f>
        <v>16623.217772924</v>
      </c>
      <c r="Q6" s="27" t="n">
        <f aca="false">P6*(1+CHOOSE(Q4,Допущения!$B$6,Допущения!$B$7,Допущения!$B$8))</f>
        <v>17620.6108392995</v>
      </c>
      <c r="R6" s="27" t="n">
        <f aca="false">Q6*(1+CHOOSE(R4,Допущения!$B$6,Допущения!$B$7,Допущения!$B$8))</f>
        <v>18677.8474896574</v>
      </c>
      <c r="S6" s="27" t="n">
        <f aca="false">R6*(1+CHOOSE(S4,Допущения!$B$6,Допущения!$B$7,Допущения!$B$8))</f>
        <v>19798.5183390369</v>
      </c>
      <c r="T6" s="27" t="n">
        <f aca="false">S6*(1+CHOOSE(T4,Допущения!$B$6,Допущения!$B$7,Допущения!$B$8))</f>
        <v>20986.4294393791</v>
      </c>
      <c r="U6" s="27" t="n">
        <f aca="false">T6*(1+CHOOSE(U4,Допущения!$B$6,Допущения!$B$7,Допущения!$B$8))</f>
        <v>22245.6152057418</v>
      </c>
      <c r="V6" s="27" t="n">
        <f aca="false">U6*(1+CHOOSE(V4,Допущения!$B$6,Допущения!$B$7,Допущения!$B$8))</f>
        <v>23580.3521180863</v>
      </c>
      <c r="W6" s="27" t="n">
        <f aca="false">V6*(1+CHOOSE(W4,Допущения!$B$6,Допущения!$B$7,Допущения!$B$8))</f>
        <v>24995.1732451715</v>
      </c>
      <c r="X6" s="27" t="n">
        <f aca="false">W6*(1+CHOOSE(X4,Допущения!$B$6,Допущения!$B$7,Допущения!$B$8))</f>
        <v>26494.8836398818</v>
      </c>
      <c r="Y6" s="27" t="n">
        <f aca="false">X6*(1+CHOOSE(Y4,Допущения!$B$6,Допущения!$B$7,Допущения!$B$8))</f>
        <v>28084.5766582747</v>
      </c>
      <c r="Z6" s="27" t="n">
        <f aca="false">Y6*(1+CHOOSE(Z4,Допущения!$B$6,Допущения!$B$7,Допущения!$B$8))</f>
        <v>28927.113958023</v>
      </c>
      <c r="AA6" s="27" t="n">
        <f aca="false">Z6*(1+CHOOSE(AA4,Допущения!$B$6,Допущения!$B$7,Допущения!$B$8))</f>
        <v>29794.9273767637</v>
      </c>
      <c r="AB6" s="27" t="n">
        <f aca="false">AA6*(1+CHOOSE(AB4,Допущения!$B$6,Допущения!$B$7,Допущения!$B$8))</f>
        <v>30688.7751980666</v>
      </c>
      <c r="AC6" s="27" t="n">
        <f aca="false">AB6*(1+CHOOSE(AC4,Допущения!$B$6,Допущения!$B$7,Допущения!$B$8))</f>
        <v>31609.4384540086</v>
      </c>
      <c r="AD6" s="27" t="n">
        <f aca="false">AC6*(1+CHOOSE(AD4,Допущения!$B$6,Допущения!$B$7,Допущения!$B$8))</f>
        <v>32557.7216076288</v>
      </c>
      <c r="AE6" s="27" t="n">
        <f aca="false">AD6*(1+CHOOSE(AE4,Допущения!$B$6,Допущения!$B$7,Допущения!$B$8))</f>
        <v>33534.4532558577</v>
      </c>
      <c r="AF6" s="27" t="n">
        <f aca="false">AE6*(1+CHOOSE(AF4,Допущения!$B$6,Допущения!$B$7,Допущения!$B$8))</f>
        <v>34540.4868535334</v>
      </c>
      <c r="AG6" s="27" t="n">
        <f aca="false">AF6*(1+CHOOSE(AG4,Допущения!$B$6,Допущения!$B$7,Допущения!$B$8))</f>
        <v>35576.7014591394</v>
      </c>
      <c r="AH6" s="27" t="n">
        <f aca="false">AG6*(1+CHOOSE(AH4,Допущения!$B$6,Допущения!$B$7,Допущения!$B$8))</f>
        <v>36644.0025029136</v>
      </c>
      <c r="AI6" s="27" t="n">
        <f aca="false">AH6*(1+CHOOSE(AI4,Допущения!$B$6,Допущения!$B$7,Допущения!$B$8))</f>
        <v>37743.322578001</v>
      </c>
      <c r="AJ6" s="27" t="n">
        <f aca="false">AI6*(1+CHOOSE(AJ4,Допущения!$B$6,Допущения!$B$7,Допущения!$B$8))</f>
        <v>38875.6222553411</v>
      </c>
      <c r="AK6" s="27" t="n">
        <f aca="false">AJ6*(1+CHOOSE(AK4,Допущения!$B$6,Допущения!$B$7,Допущения!$B$8))</f>
        <v>40041.8909230013</v>
      </c>
    </row>
    <row r="7" customFormat="false" ht="15" hidden="false" customHeight="false" outlineLevel="0" collapsed="false">
      <c r="A7" s="5" t="s">
        <v>137</v>
      </c>
      <c r="B7" s="27" t="n">
        <f aca="false">B6*Допущения!$B$9</f>
        <v>900</v>
      </c>
      <c r="C7" s="27" t="n">
        <f aca="false">C6*Допущения!$B$9</f>
        <v>1035</v>
      </c>
      <c r="D7" s="27" t="n">
        <f aca="false">D6*Допущения!$B$9</f>
        <v>1190.25</v>
      </c>
      <c r="E7" s="27" t="n">
        <f aca="false">E6*Допущения!$B$9</f>
        <v>1368.7875</v>
      </c>
      <c r="F7" s="27" t="n">
        <f aca="false">F6*Допущения!$B$9</f>
        <v>1574.105625</v>
      </c>
      <c r="G7" s="27" t="n">
        <f aca="false">G6*Допущения!$B$9</f>
        <v>1810.22146875</v>
      </c>
      <c r="H7" s="27" t="n">
        <f aca="false">H6*Допущения!$B$9</f>
        <v>2081.7546890625</v>
      </c>
      <c r="I7" s="27" t="n">
        <f aca="false">I6*Допущения!$B$9</f>
        <v>2394.01789242187</v>
      </c>
      <c r="J7" s="27" t="n">
        <f aca="false">J6*Допущения!$B$9</f>
        <v>2753.12057628515</v>
      </c>
      <c r="K7" s="27" t="n">
        <f aca="false">K6*Допущения!$B$9</f>
        <v>3166.08866272793</v>
      </c>
      <c r="L7" s="27" t="n">
        <f aca="false">L6*Допущения!$B$9</f>
        <v>3641.00196213712</v>
      </c>
      <c r="M7" s="27" t="n">
        <f aca="false">M6*Допущения!$B$9</f>
        <v>4187.15225645768</v>
      </c>
      <c r="N7" s="27" t="n">
        <f aca="false">N6*Допущения!$B$9</f>
        <v>4438.38139184514</v>
      </c>
      <c r="O7" s="27" t="n">
        <f aca="false">O6*Допущения!$B$9</f>
        <v>4704.68427535585</v>
      </c>
      <c r="P7" s="27" t="n">
        <f aca="false">P6*Допущения!$B$9</f>
        <v>4986.9653318772</v>
      </c>
      <c r="Q7" s="27" t="n">
        <f aca="false">Q6*Допущения!$B$9</f>
        <v>5286.18325178984</v>
      </c>
      <c r="R7" s="27" t="n">
        <f aca="false">R6*Допущения!$B$9</f>
        <v>5603.35424689723</v>
      </c>
      <c r="S7" s="27" t="n">
        <f aca="false">S6*Допущения!$B$9</f>
        <v>5939.55550171106</v>
      </c>
      <c r="T7" s="27" t="n">
        <f aca="false">T6*Допущения!$B$9</f>
        <v>6295.92883181373</v>
      </c>
      <c r="U7" s="27" t="n">
        <f aca="false">U6*Допущения!$B$9</f>
        <v>6673.68456172255</v>
      </c>
      <c r="V7" s="27" t="n">
        <f aca="false">V6*Допущения!$B$9</f>
        <v>7074.1056354259</v>
      </c>
      <c r="W7" s="27" t="n">
        <f aca="false">W6*Допущения!$B$9</f>
        <v>7498.55197355146</v>
      </c>
      <c r="X7" s="27" t="n">
        <f aca="false">X6*Допущения!$B$9</f>
        <v>7948.46509196454</v>
      </c>
      <c r="Y7" s="27" t="n">
        <f aca="false">Y6*Допущения!$B$9</f>
        <v>8425.37299748242</v>
      </c>
      <c r="Z7" s="27" t="n">
        <f aca="false">Z6*Допущения!$B$9</f>
        <v>8678.13418740689</v>
      </c>
      <c r="AA7" s="27" t="n">
        <f aca="false">AA6*Допущения!$B$9</f>
        <v>8938.4782130291</v>
      </c>
      <c r="AB7" s="27" t="n">
        <f aca="false">AB6*Допущения!$B$9</f>
        <v>9206.63255941997</v>
      </c>
      <c r="AC7" s="27" t="n">
        <f aca="false">AC6*Допущения!$B$9</f>
        <v>9482.83153620257</v>
      </c>
      <c r="AD7" s="27" t="n">
        <f aca="false">AD6*Допущения!$B$9</f>
        <v>9767.31648228865</v>
      </c>
      <c r="AE7" s="27" t="n">
        <f aca="false">AE6*Допущения!$B$9</f>
        <v>10060.3359767573</v>
      </c>
      <c r="AF7" s="27" t="n">
        <f aca="false">AF6*Допущения!$B$9</f>
        <v>10362.14605606</v>
      </c>
      <c r="AG7" s="27" t="n">
        <f aca="false">AG6*Допущения!$B$9</f>
        <v>10673.0104377418</v>
      </c>
      <c r="AH7" s="27" t="n">
        <f aca="false">AH6*Допущения!$B$9</f>
        <v>10993.2007508741</v>
      </c>
      <c r="AI7" s="27" t="n">
        <f aca="false">AI6*Допущения!$B$9</f>
        <v>11322.9967734003</v>
      </c>
      <c r="AJ7" s="27" t="n">
        <f aca="false">AJ6*Допущения!$B$9</f>
        <v>11662.6866766023</v>
      </c>
      <c r="AK7" s="27" t="n">
        <f aca="false">AK6*Допущения!$B$9</f>
        <v>12012.5672769004</v>
      </c>
    </row>
    <row r="8" customFormat="false" ht="15" hidden="false" customHeight="false" outlineLevel="0" collapsed="false">
      <c r="A8" s="5" t="s">
        <v>138</v>
      </c>
      <c r="B8" s="27" t="n">
        <f aca="false">B7*Допущения!$B$10</f>
        <v>90</v>
      </c>
      <c r="C8" s="27" t="n">
        <f aca="false">C7*Допущения!$B$10</f>
        <v>103.5</v>
      </c>
      <c r="D8" s="27" t="n">
        <f aca="false">D7*Допущения!$B$10</f>
        <v>119.025</v>
      </c>
      <c r="E8" s="27" t="n">
        <f aca="false">E7*Допущения!$B$10</f>
        <v>136.87875</v>
      </c>
      <c r="F8" s="27" t="n">
        <f aca="false">F7*Допущения!$B$10</f>
        <v>157.4105625</v>
      </c>
      <c r="G8" s="27" t="n">
        <f aca="false">G7*Допущения!$B$10</f>
        <v>181.022146875</v>
      </c>
      <c r="H8" s="27" t="n">
        <f aca="false">H7*Допущения!$B$10</f>
        <v>208.17546890625</v>
      </c>
      <c r="I8" s="27" t="n">
        <f aca="false">I7*Допущения!$B$10</f>
        <v>239.401789242187</v>
      </c>
      <c r="J8" s="27" t="n">
        <f aca="false">J7*Допущения!$B$10</f>
        <v>275.312057628515</v>
      </c>
      <c r="K8" s="27" t="n">
        <f aca="false">K7*Допущения!$B$10</f>
        <v>316.608866272793</v>
      </c>
      <c r="L8" s="27" t="n">
        <f aca="false">L7*Допущения!$B$10</f>
        <v>364.100196213712</v>
      </c>
      <c r="M8" s="27" t="n">
        <f aca="false">M7*Допущения!$B$10</f>
        <v>418.715225645768</v>
      </c>
      <c r="N8" s="27" t="n">
        <f aca="false">N7*Допущения!$B$10</f>
        <v>443.838139184514</v>
      </c>
      <c r="O8" s="27" t="n">
        <f aca="false">O7*Допущения!$B$10</f>
        <v>470.468427535585</v>
      </c>
      <c r="P8" s="27" t="n">
        <f aca="false">P7*Допущения!$B$10</f>
        <v>498.69653318772</v>
      </c>
      <c r="Q8" s="27" t="n">
        <f aca="false">Q7*Допущения!$B$10</f>
        <v>528.618325178984</v>
      </c>
      <c r="R8" s="27" t="n">
        <f aca="false">R7*Допущения!$B$10</f>
        <v>560.335424689723</v>
      </c>
      <c r="S8" s="27" t="n">
        <f aca="false">S7*Допущения!$B$10</f>
        <v>593.955550171106</v>
      </c>
      <c r="T8" s="27" t="n">
        <f aca="false">T7*Допущения!$B$10</f>
        <v>629.592883181373</v>
      </c>
      <c r="U8" s="27" t="n">
        <f aca="false">U7*Допущения!$B$10</f>
        <v>667.368456172255</v>
      </c>
      <c r="V8" s="27" t="n">
        <f aca="false">V7*Допущения!$B$10</f>
        <v>707.41056354259</v>
      </c>
      <c r="W8" s="27" t="n">
        <f aca="false">W7*Допущения!$B$10</f>
        <v>749.855197355146</v>
      </c>
      <c r="X8" s="27" t="n">
        <f aca="false">X7*Допущения!$B$10</f>
        <v>794.846509196455</v>
      </c>
      <c r="Y8" s="27" t="n">
        <f aca="false">Y7*Допущения!$B$10</f>
        <v>842.537299748242</v>
      </c>
      <c r="Z8" s="27" t="n">
        <f aca="false">Z7*Допущения!$B$10</f>
        <v>867.813418740689</v>
      </c>
      <c r="AA8" s="27" t="n">
        <f aca="false">AA7*Допущения!$B$10</f>
        <v>893.84782130291</v>
      </c>
      <c r="AB8" s="27" t="n">
        <f aca="false">AB7*Допущения!$B$10</f>
        <v>920.663255941997</v>
      </c>
      <c r="AC8" s="27" t="n">
        <f aca="false">AC7*Допущения!$B$10</f>
        <v>948.283153620257</v>
      </c>
      <c r="AD8" s="27" t="n">
        <f aca="false">AD7*Допущения!$B$10</f>
        <v>976.731648228865</v>
      </c>
      <c r="AE8" s="27" t="n">
        <f aca="false">AE7*Допущения!$B$10</f>
        <v>1006.03359767573</v>
      </c>
      <c r="AF8" s="27" t="n">
        <f aca="false">AF7*Допущения!$B$10</f>
        <v>1036.214605606</v>
      </c>
      <c r="AG8" s="27" t="n">
        <f aca="false">AG7*Допущения!$B$10</f>
        <v>1067.30104377418</v>
      </c>
      <c r="AH8" s="27" t="n">
        <f aca="false">AH7*Допущения!$B$10</f>
        <v>1099.32007508741</v>
      </c>
      <c r="AI8" s="27" t="n">
        <f aca="false">AI7*Допущения!$B$10</f>
        <v>1132.29967734003</v>
      </c>
      <c r="AJ8" s="27" t="n">
        <f aca="false">AJ7*Допущения!$B$10</f>
        <v>1166.26866766023</v>
      </c>
      <c r="AK8" s="27" t="n">
        <f aca="false">AK7*Допущения!$B$10</f>
        <v>1201.25672769004</v>
      </c>
    </row>
    <row r="9" customFormat="false" ht="15" hidden="false" customHeight="false" outlineLevel="0" collapsed="false">
      <c r="A9" s="5" t="s">
        <v>9</v>
      </c>
      <c r="B9" s="27" t="n">
        <f aca="false">B7*Допущения!$B$11</f>
        <v>22.5</v>
      </c>
      <c r="C9" s="27" t="n">
        <f aca="false">C7*Допущения!$B$11</f>
        <v>25.875</v>
      </c>
      <c r="D9" s="27" t="n">
        <f aca="false">D7*Допущения!$B$11</f>
        <v>29.75625</v>
      </c>
      <c r="E9" s="27" t="n">
        <f aca="false">E7*Допущения!$B$11</f>
        <v>34.2196875</v>
      </c>
      <c r="F9" s="27" t="n">
        <f aca="false">F7*Допущения!$B$11</f>
        <v>39.352640625</v>
      </c>
      <c r="G9" s="27" t="n">
        <f aca="false">G7*Допущения!$B$11</f>
        <v>45.25553671875</v>
      </c>
      <c r="H9" s="27" t="n">
        <f aca="false">H7*Допущения!$B$11</f>
        <v>52.0438672265625</v>
      </c>
      <c r="I9" s="27" t="n">
        <f aca="false">I7*Допущения!$B$11</f>
        <v>59.8504473105468</v>
      </c>
      <c r="J9" s="27" t="n">
        <f aca="false">J7*Допущения!$B$11</f>
        <v>68.8280144071289</v>
      </c>
      <c r="K9" s="27" t="n">
        <f aca="false">K7*Допущения!$B$11</f>
        <v>79.1522165681982</v>
      </c>
      <c r="L9" s="27" t="n">
        <f aca="false">L7*Допущения!$B$11</f>
        <v>91.0250490534279</v>
      </c>
      <c r="M9" s="27" t="n">
        <f aca="false">M7*Допущения!$B$11</f>
        <v>104.678806411442</v>
      </c>
      <c r="N9" s="27" t="n">
        <f aca="false">N7*Допущения!$B$11</f>
        <v>110.959534796129</v>
      </c>
      <c r="O9" s="27" t="n">
        <f aca="false">O7*Допущения!$B$11</f>
        <v>117.617106883896</v>
      </c>
      <c r="P9" s="27" t="n">
        <f aca="false">P7*Допущения!$B$11</f>
        <v>124.67413329693</v>
      </c>
      <c r="Q9" s="27" t="n">
        <f aca="false">Q7*Допущения!$B$11</f>
        <v>132.154581294746</v>
      </c>
      <c r="R9" s="27" t="n">
        <f aca="false">R7*Допущения!$B$11</f>
        <v>140.083856172431</v>
      </c>
      <c r="S9" s="27" t="n">
        <f aca="false">S7*Допущения!$B$11</f>
        <v>148.488887542777</v>
      </c>
      <c r="T9" s="27" t="n">
        <f aca="false">T7*Допущения!$B$11</f>
        <v>157.398220795343</v>
      </c>
      <c r="U9" s="27" t="n">
        <f aca="false">U7*Допущения!$B$11</f>
        <v>166.842114043064</v>
      </c>
      <c r="V9" s="27" t="n">
        <f aca="false">V7*Допущения!$B$11</f>
        <v>176.852640885648</v>
      </c>
      <c r="W9" s="27" t="n">
        <f aca="false">W7*Допущения!$B$11</f>
        <v>187.463799338786</v>
      </c>
      <c r="X9" s="27" t="n">
        <f aca="false">X7*Допущения!$B$11</f>
        <v>198.711627299114</v>
      </c>
      <c r="Y9" s="27" t="n">
        <f aca="false">Y7*Допущения!$B$11</f>
        <v>210.63432493706</v>
      </c>
      <c r="Z9" s="27" t="n">
        <f aca="false">Z7*Допущения!$B$11</f>
        <v>216.953354685172</v>
      </c>
      <c r="AA9" s="27" t="n">
        <f aca="false">AA7*Допущения!$B$11</f>
        <v>223.461955325727</v>
      </c>
      <c r="AB9" s="27" t="n">
        <f aca="false">AB7*Допущения!$B$11</f>
        <v>230.165813985499</v>
      </c>
      <c r="AC9" s="27" t="n">
        <f aca="false">AC7*Допущения!$B$11</f>
        <v>237.070788405064</v>
      </c>
      <c r="AD9" s="27" t="n">
        <f aca="false">AD7*Допущения!$B$11</f>
        <v>244.182912057216</v>
      </c>
      <c r="AE9" s="27" t="n">
        <f aca="false">AE7*Допущения!$B$11</f>
        <v>251.508399418933</v>
      </c>
      <c r="AF9" s="27" t="n">
        <f aca="false">AF7*Допущения!$B$11</f>
        <v>259.053651401501</v>
      </c>
      <c r="AG9" s="27" t="n">
        <f aca="false">AG7*Допущения!$B$11</f>
        <v>266.825260943546</v>
      </c>
      <c r="AH9" s="27" t="n">
        <f aca="false">AH7*Допущения!$B$11</f>
        <v>274.830018771852</v>
      </c>
      <c r="AI9" s="27" t="n">
        <f aca="false">AI7*Допущения!$B$11</f>
        <v>283.074919335008</v>
      </c>
      <c r="AJ9" s="27" t="n">
        <f aca="false">AJ7*Допущения!$B$11</f>
        <v>291.567166915058</v>
      </c>
      <c r="AK9" s="27" t="n">
        <f aca="false">AK7*Допущения!$B$11</f>
        <v>300.31418192251</v>
      </c>
    </row>
    <row r="10" customFormat="false" ht="15" hidden="false" customHeight="false" outlineLevel="0" collapsed="false">
      <c r="A10" s="8" t="s">
        <v>139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Format="false" ht="15" hidden="false" customHeight="false" outlineLevel="0" collapsed="false">
      <c r="A11" s="5" t="s">
        <v>16</v>
      </c>
      <c r="B11" s="27" t="n">
        <f aca="false">B8*Допущения!$B$13</f>
        <v>4.5</v>
      </c>
      <c r="C11" s="27" t="n">
        <f aca="false">C8*Допущения!$B$13</f>
        <v>5.175</v>
      </c>
      <c r="D11" s="27" t="n">
        <f aca="false">D8*Допущения!$B$13</f>
        <v>5.95125</v>
      </c>
      <c r="E11" s="27" t="n">
        <f aca="false">E8*Допущения!$B$13</f>
        <v>6.8439375</v>
      </c>
      <c r="F11" s="27" t="n">
        <f aca="false">F8*Допущения!$B$13</f>
        <v>7.870528125</v>
      </c>
      <c r="G11" s="27" t="n">
        <f aca="false">G8*Допущения!$B$13</f>
        <v>9.05110734375</v>
      </c>
      <c r="H11" s="27" t="n">
        <f aca="false">H8*Допущения!$B$13</f>
        <v>10.4087734453125</v>
      </c>
      <c r="I11" s="27" t="n">
        <f aca="false">I8*Допущения!$B$13</f>
        <v>11.9700894621094</v>
      </c>
      <c r="J11" s="27" t="n">
        <f aca="false">J8*Допущения!$B$13</f>
        <v>13.7656028814258</v>
      </c>
      <c r="K11" s="27" t="n">
        <f aca="false">K8*Допущения!$B$13</f>
        <v>15.8304433136396</v>
      </c>
      <c r="L11" s="27" t="n">
        <f aca="false">L8*Допущения!$B$13</f>
        <v>18.2050098106856</v>
      </c>
      <c r="M11" s="27" t="n">
        <f aca="false">M8*Допущения!$B$13</f>
        <v>20.9357612822884</v>
      </c>
      <c r="N11" s="27" t="n">
        <f aca="false">N8*Допущения!$B$13</f>
        <v>22.1919069592257</v>
      </c>
      <c r="O11" s="27" t="n">
        <f aca="false">O8*Допущения!$B$13</f>
        <v>23.5234213767793</v>
      </c>
      <c r="P11" s="27" t="n">
        <f aca="false">P8*Допущения!$B$13</f>
        <v>24.934826659386</v>
      </c>
      <c r="Q11" s="27" t="n">
        <f aca="false">Q8*Допущения!$B$13</f>
        <v>26.4309162589492</v>
      </c>
      <c r="R11" s="27" t="n">
        <f aca="false">R8*Допущения!$B$13</f>
        <v>28.0167712344861</v>
      </c>
      <c r="S11" s="27" t="n">
        <f aca="false">S8*Допущения!$B$13</f>
        <v>29.6977775085553</v>
      </c>
      <c r="T11" s="27" t="n">
        <f aca="false">T8*Допущения!$B$13</f>
        <v>31.4796441590686</v>
      </c>
      <c r="U11" s="27" t="n">
        <f aca="false">U8*Допущения!$B$13</f>
        <v>33.3684228086128</v>
      </c>
      <c r="V11" s="27" t="n">
        <f aca="false">V8*Допущения!$B$13</f>
        <v>35.3705281771295</v>
      </c>
      <c r="W11" s="27" t="n">
        <f aca="false">W8*Допущения!$B$13</f>
        <v>37.4927598677573</v>
      </c>
      <c r="X11" s="27" t="n">
        <f aca="false">X8*Допущения!$B$13</f>
        <v>39.7423254598227</v>
      </c>
      <c r="Y11" s="27" t="n">
        <f aca="false">Y8*Допущения!$B$13</f>
        <v>42.1268649874121</v>
      </c>
      <c r="Z11" s="27" t="n">
        <f aca="false">Z8*Допущения!$B$13</f>
        <v>43.3906709370345</v>
      </c>
      <c r="AA11" s="27" t="n">
        <f aca="false">AA8*Допущения!$B$13</f>
        <v>44.6923910651455</v>
      </c>
      <c r="AB11" s="27" t="n">
        <f aca="false">AB8*Допущения!$B$13</f>
        <v>46.0331627970999</v>
      </c>
      <c r="AC11" s="27" t="n">
        <f aca="false">AC8*Допущения!$B$13</f>
        <v>47.4141576810129</v>
      </c>
      <c r="AD11" s="27" t="n">
        <f aca="false">AD8*Допущения!$B$13</f>
        <v>48.8365824114432</v>
      </c>
      <c r="AE11" s="27" t="n">
        <f aca="false">AE8*Допущения!$B$13</f>
        <v>50.3016798837865</v>
      </c>
      <c r="AF11" s="27" t="n">
        <f aca="false">AF8*Допущения!$B$13</f>
        <v>51.8107302803001</v>
      </c>
      <c r="AG11" s="27" t="n">
        <f aca="false">AG8*Допущения!$B$13</f>
        <v>53.3650521887091</v>
      </c>
      <c r="AH11" s="27" t="n">
        <f aca="false">AH8*Допущения!$B$13</f>
        <v>54.9660037543704</v>
      </c>
      <c r="AI11" s="27" t="n">
        <f aca="false">AI8*Допущения!$B$13</f>
        <v>56.6149838670015</v>
      </c>
      <c r="AJ11" s="27" t="n">
        <f aca="false">AJ8*Допущения!$B$13</f>
        <v>58.3134333830116</v>
      </c>
      <c r="AK11" s="27" t="n">
        <f aca="false">AK8*Допущения!$B$13</f>
        <v>60.0628363845019</v>
      </c>
    </row>
    <row r="12" customFormat="false" ht="15" hidden="false" customHeight="false" outlineLevel="0" collapsed="false">
      <c r="A12" s="5" t="s">
        <v>17</v>
      </c>
      <c r="B12" s="27" t="n">
        <f aca="false">B8*Допущения!$B$14</f>
        <v>1.8</v>
      </c>
      <c r="C12" s="27" t="n">
        <f aca="false">C8*Допущения!$B$14</f>
        <v>2.07</v>
      </c>
      <c r="D12" s="27" t="n">
        <f aca="false">D8*Допущения!$B$14</f>
        <v>2.3805</v>
      </c>
      <c r="E12" s="27" t="n">
        <f aca="false">E8*Допущения!$B$14</f>
        <v>2.737575</v>
      </c>
      <c r="F12" s="27" t="n">
        <f aca="false">F8*Допущения!$B$14</f>
        <v>3.14821125</v>
      </c>
      <c r="G12" s="27" t="n">
        <f aca="false">G8*Допущения!$B$14</f>
        <v>3.6204429375</v>
      </c>
      <c r="H12" s="27" t="n">
        <f aca="false">H8*Допущения!$B$14</f>
        <v>4.163509378125</v>
      </c>
      <c r="I12" s="27" t="n">
        <f aca="false">I8*Допущения!$B$14</f>
        <v>4.78803578484375</v>
      </c>
      <c r="J12" s="27" t="n">
        <f aca="false">J8*Допущения!$B$14</f>
        <v>5.50624115257031</v>
      </c>
      <c r="K12" s="27" t="n">
        <f aca="false">K8*Допущения!$B$14</f>
        <v>6.33217732545586</v>
      </c>
      <c r="L12" s="27" t="n">
        <f aca="false">L8*Допущения!$B$14</f>
        <v>7.28200392427423</v>
      </c>
      <c r="M12" s="27" t="n">
        <f aca="false">M8*Допущения!$B$14</f>
        <v>8.37430451291537</v>
      </c>
      <c r="N12" s="27" t="n">
        <f aca="false">N8*Допущения!$B$14</f>
        <v>8.87676278369029</v>
      </c>
      <c r="O12" s="27" t="n">
        <f aca="false">O8*Допущения!$B$14</f>
        <v>9.40936855071171</v>
      </c>
      <c r="P12" s="27" t="n">
        <f aca="false">P8*Допущения!$B$14</f>
        <v>9.97393066375441</v>
      </c>
      <c r="Q12" s="27" t="n">
        <f aca="false">Q8*Допущения!$B$14</f>
        <v>10.5723665035797</v>
      </c>
      <c r="R12" s="27" t="n">
        <f aca="false">R8*Допущения!$B$14</f>
        <v>11.2067084937945</v>
      </c>
      <c r="S12" s="27" t="n">
        <f aca="false">S8*Допущения!$B$14</f>
        <v>11.8791110034221</v>
      </c>
      <c r="T12" s="27" t="n">
        <f aca="false">T8*Допущения!$B$14</f>
        <v>12.5918576636275</v>
      </c>
      <c r="U12" s="27" t="n">
        <f aca="false">U8*Допущения!$B$14</f>
        <v>13.3473691234451</v>
      </c>
      <c r="V12" s="27" t="n">
        <f aca="false">V8*Допущения!$B$14</f>
        <v>14.1482112708518</v>
      </c>
      <c r="W12" s="27" t="n">
        <f aca="false">W8*Допущения!$B$14</f>
        <v>14.9971039471029</v>
      </c>
      <c r="X12" s="27" t="n">
        <f aca="false">X8*Допущения!$B$14</f>
        <v>15.8969301839291</v>
      </c>
      <c r="Y12" s="27" t="n">
        <f aca="false">Y8*Допущения!$B$14</f>
        <v>16.8507459949648</v>
      </c>
      <c r="Z12" s="27" t="n">
        <f aca="false">Z8*Допущения!$B$14</f>
        <v>17.3562683748138</v>
      </c>
      <c r="AA12" s="27" t="n">
        <f aca="false">AA8*Допущения!$B$14</f>
        <v>17.8769564260582</v>
      </c>
      <c r="AB12" s="27" t="n">
        <f aca="false">AB8*Допущения!$B$14</f>
        <v>18.4132651188399</v>
      </c>
      <c r="AC12" s="27" t="n">
        <f aca="false">AC8*Допущения!$B$14</f>
        <v>18.9656630724051</v>
      </c>
      <c r="AD12" s="27" t="n">
        <f aca="false">AD8*Допущения!$B$14</f>
        <v>19.5346329645773</v>
      </c>
      <c r="AE12" s="27" t="n">
        <f aca="false">AE8*Допущения!$B$14</f>
        <v>20.1206719535146</v>
      </c>
      <c r="AF12" s="27" t="n">
        <f aca="false">AF8*Допущения!$B$14</f>
        <v>20.7242921121201</v>
      </c>
      <c r="AG12" s="27" t="n">
        <f aca="false">AG8*Допущения!$B$14</f>
        <v>21.3460208754837</v>
      </c>
      <c r="AH12" s="27" t="n">
        <f aca="false">AH8*Допущения!$B$14</f>
        <v>21.9864015017482</v>
      </c>
      <c r="AI12" s="27" t="n">
        <f aca="false">AI8*Допущения!$B$14</f>
        <v>22.6459935468006</v>
      </c>
      <c r="AJ12" s="27" t="n">
        <f aca="false">AJ8*Допущения!$B$14</f>
        <v>23.3253733532046</v>
      </c>
      <c r="AK12" s="27" t="n">
        <f aca="false">AK8*Допущения!$B$14</f>
        <v>24.0251345538008</v>
      </c>
    </row>
    <row r="13" customFormat="false" ht="15" hidden="false" customHeight="false" outlineLevel="0" collapsed="false">
      <c r="A13" s="5" t="s">
        <v>140</v>
      </c>
      <c r="B13" s="27" t="n">
        <f aca="false">B8*Допущения!$B$15</f>
        <v>1.35</v>
      </c>
      <c r="C13" s="27" t="n">
        <f aca="false">C8*Допущения!$B$15</f>
        <v>1.5525</v>
      </c>
      <c r="D13" s="27" t="n">
        <f aca="false">D8*Допущения!$B$15</f>
        <v>1.785375</v>
      </c>
      <c r="E13" s="27" t="n">
        <f aca="false">E8*Допущения!$B$15</f>
        <v>2.05318125</v>
      </c>
      <c r="F13" s="27" t="n">
        <f aca="false">F8*Допущения!$B$15</f>
        <v>2.3611584375</v>
      </c>
      <c r="G13" s="27" t="n">
        <f aca="false">G8*Допущения!$B$15</f>
        <v>2.715332203125</v>
      </c>
      <c r="H13" s="27" t="n">
        <f aca="false">H8*Допущения!$B$15</f>
        <v>3.12263203359375</v>
      </c>
      <c r="I13" s="27" t="n">
        <f aca="false">I8*Допущения!$B$15</f>
        <v>3.59102683863281</v>
      </c>
      <c r="J13" s="27" t="n">
        <f aca="false">J8*Допущения!$B$15</f>
        <v>4.12968086442773</v>
      </c>
      <c r="K13" s="27" t="n">
        <f aca="false">K8*Допущения!$B$15</f>
        <v>4.74913299409189</v>
      </c>
      <c r="L13" s="27" t="n">
        <f aca="false">L8*Допущения!$B$15</f>
        <v>5.46150294320567</v>
      </c>
      <c r="M13" s="27" t="n">
        <f aca="false">M8*Допущения!$B$15</f>
        <v>6.28072838468652</v>
      </c>
      <c r="N13" s="27" t="n">
        <f aca="false">N8*Допущения!$B$15</f>
        <v>6.65757208776772</v>
      </c>
      <c r="O13" s="27" t="n">
        <f aca="false">O8*Допущения!$B$15</f>
        <v>7.05702641303378</v>
      </c>
      <c r="P13" s="27" t="n">
        <f aca="false">P8*Допущения!$B$15</f>
        <v>7.48044799781581</v>
      </c>
      <c r="Q13" s="27" t="n">
        <f aca="false">Q8*Допущения!$B$15</f>
        <v>7.92927487768475</v>
      </c>
      <c r="R13" s="27" t="n">
        <f aca="false">R8*Допущения!$B$15</f>
        <v>8.40503137034584</v>
      </c>
      <c r="S13" s="27" t="n">
        <f aca="false">S8*Допущения!$B$15</f>
        <v>8.90933325256659</v>
      </c>
      <c r="T13" s="27" t="n">
        <f aca="false">T8*Допущения!$B$15</f>
        <v>9.44389324772059</v>
      </c>
      <c r="U13" s="27" t="n">
        <f aca="false">U8*Допущения!$B$15</f>
        <v>10.0105268425838</v>
      </c>
      <c r="V13" s="27" t="n">
        <f aca="false">V8*Допущения!$B$15</f>
        <v>10.6111584531389</v>
      </c>
      <c r="W13" s="27" t="n">
        <f aca="false">W8*Допущения!$B$15</f>
        <v>11.2478279603272</v>
      </c>
      <c r="X13" s="27" t="n">
        <f aca="false">X8*Допущения!$B$15</f>
        <v>11.9226976379468</v>
      </c>
      <c r="Y13" s="27" t="n">
        <f aca="false">Y8*Допущения!$B$15</f>
        <v>12.6380594962236</v>
      </c>
      <c r="Z13" s="27" t="n">
        <f aca="false">Z8*Допущения!$B$15</f>
        <v>13.0172012811103</v>
      </c>
      <c r="AA13" s="27" t="n">
        <f aca="false">AA8*Допущения!$B$15</f>
        <v>13.4077173195436</v>
      </c>
      <c r="AB13" s="27" t="n">
        <f aca="false">AB8*Допущения!$B$15</f>
        <v>13.80994883913</v>
      </c>
      <c r="AC13" s="27" t="n">
        <f aca="false">AC8*Допущения!$B$15</f>
        <v>14.2242473043039</v>
      </c>
      <c r="AD13" s="27" t="n">
        <f aca="false">AD8*Допущения!$B$15</f>
        <v>14.650974723433</v>
      </c>
      <c r="AE13" s="27" t="n">
        <f aca="false">AE8*Допущения!$B$15</f>
        <v>15.090503965136</v>
      </c>
      <c r="AF13" s="27" t="n">
        <f aca="false">AF8*Допущения!$B$15</f>
        <v>15.54321908409</v>
      </c>
      <c r="AG13" s="27" t="n">
        <f aca="false">AG8*Допущения!$B$15</f>
        <v>16.0095156566127</v>
      </c>
      <c r="AH13" s="27" t="n">
        <f aca="false">AH8*Допущения!$B$15</f>
        <v>16.4898011263111</v>
      </c>
      <c r="AI13" s="27" t="n">
        <f aca="false">AI8*Допущения!$B$15</f>
        <v>16.9844951601005</v>
      </c>
      <c r="AJ13" s="27" t="n">
        <f aca="false">AJ8*Допущения!$B$15</f>
        <v>17.4940300149035</v>
      </c>
      <c r="AK13" s="27" t="n">
        <f aca="false">AK8*Допущения!$B$15</f>
        <v>18.0188509153506</v>
      </c>
    </row>
    <row r="14" customFormat="false" ht="15" hidden="false" customHeight="false" outlineLevel="0" collapsed="false">
      <c r="A14" s="5" t="s">
        <v>19</v>
      </c>
      <c r="B14" s="27" t="n">
        <f aca="false">B8*Допущения!$B$16</f>
        <v>0.36</v>
      </c>
      <c r="C14" s="27" t="n">
        <f aca="false">C8*Допущения!$B$16</f>
        <v>0.414</v>
      </c>
      <c r="D14" s="27" t="n">
        <f aca="false">D8*Допущения!$B$16</f>
        <v>0.4761</v>
      </c>
      <c r="E14" s="27" t="n">
        <f aca="false">E8*Допущения!$B$16</f>
        <v>0.547515</v>
      </c>
      <c r="F14" s="27" t="n">
        <f aca="false">F8*Допущения!$B$16</f>
        <v>0.62964225</v>
      </c>
      <c r="G14" s="27" t="n">
        <f aca="false">G8*Допущения!$B$16</f>
        <v>0.7240885875</v>
      </c>
      <c r="H14" s="27" t="n">
        <f aca="false">H8*Допущения!$B$16</f>
        <v>0.832701875625</v>
      </c>
      <c r="I14" s="27" t="n">
        <f aca="false">I8*Допущения!$B$16</f>
        <v>0.957607156968749</v>
      </c>
      <c r="J14" s="27" t="n">
        <f aca="false">J8*Допущения!$B$16</f>
        <v>1.10124823051406</v>
      </c>
      <c r="K14" s="27" t="n">
        <f aca="false">K8*Допущения!$B$16</f>
        <v>1.26643546509117</v>
      </c>
      <c r="L14" s="27" t="n">
        <f aca="false">L8*Допущения!$B$16</f>
        <v>1.45640078485485</v>
      </c>
      <c r="M14" s="27" t="n">
        <f aca="false">M8*Допущения!$B$16</f>
        <v>1.67486090258307</v>
      </c>
      <c r="N14" s="27" t="n">
        <f aca="false">N8*Допущения!$B$16</f>
        <v>1.77535255673806</v>
      </c>
      <c r="O14" s="27" t="n">
        <f aca="false">O8*Допущения!$B$16</f>
        <v>1.88187371014234</v>
      </c>
      <c r="P14" s="27" t="n">
        <f aca="false">P8*Допущения!$B$16</f>
        <v>1.99478613275088</v>
      </c>
      <c r="Q14" s="27" t="n">
        <f aca="false">Q8*Допущения!$B$16</f>
        <v>2.11447330071593</v>
      </c>
      <c r="R14" s="27" t="n">
        <f aca="false">R8*Допущения!$B$16</f>
        <v>2.24134169875889</v>
      </c>
      <c r="S14" s="27" t="n">
        <f aca="false">S8*Допущения!$B$16</f>
        <v>2.37582220068442</v>
      </c>
      <c r="T14" s="27" t="n">
        <f aca="false">T8*Допущения!$B$16</f>
        <v>2.51837153272549</v>
      </c>
      <c r="U14" s="27" t="n">
        <f aca="false">U8*Допущения!$B$16</f>
        <v>2.66947382468902</v>
      </c>
      <c r="V14" s="27" t="n">
        <f aca="false">V8*Допущения!$B$16</f>
        <v>2.82964225417036</v>
      </c>
      <c r="W14" s="27" t="n">
        <f aca="false">W8*Допущения!$B$16</f>
        <v>2.99942078942058</v>
      </c>
      <c r="X14" s="27" t="n">
        <f aca="false">X8*Допущения!$B$16</f>
        <v>3.17938603678582</v>
      </c>
      <c r="Y14" s="27" t="n">
        <f aca="false">Y8*Допущения!$B$16</f>
        <v>3.37014919899297</v>
      </c>
      <c r="Z14" s="27" t="n">
        <f aca="false">Z8*Допущения!$B$16</f>
        <v>3.47125367496276</v>
      </c>
      <c r="AA14" s="27" t="n">
        <f aca="false">AA8*Допущения!$B$16</f>
        <v>3.57539128521164</v>
      </c>
      <c r="AB14" s="27" t="n">
        <f aca="false">AB8*Допущения!$B$16</f>
        <v>3.68265302376799</v>
      </c>
      <c r="AC14" s="27" t="n">
        <f aca="false">AC8*Допущения!$B$16</f>
        <v>3.79313261448103</v>
      </c>
      <c r="AD14" s="27" t="n">
        <f aca="false">AD8*Допущения!$B$16</f>
        <v>3.90692659291546</v>
      </c>
      <c r="AE14" s="27" t="n">
        <f aca="false">AE8*Допущения!$B$16</f>
        <v>4.02413439070292</v>
      </c>
      <c r="AF14" s="27" t="n">
        <f aca="false">AF8*Допущения!$B$16</f>
        <v>4.14485842242401</v>
      </c>
      <c r="AG14" s="27" t="n">
        <f aca="false">AG8*Допущения!$B$16</f>
        <v>4.26920417509673</v>
      </c>
      <c r="AH14" s="27" t="n">
        <f aca="false">AH8*Допущения!$B$16</f>
        <v>4.39728030034963</v>
      </c>
      <c r="AI14" s="27" t="n">
        <f aca="false">AI8*Допущения!$B$16</f>
        <v>4.52919870936012</v>
      </c>
      <c r="AJ14" s="27" t="n">
        <f aca="false">AJ8*Допущения!$B$16</f>
        <v>4.66507467064093</v>
      </c>
      <c r="AK14" s="27" t="n">
        <f aca="false">AK8*Допущения!$B$16</f>
        <v>4.80502691076015</v>
      </c>
    </row>
    <row r="15" customFormat="false" ht="15" hidden="false" customHeight="false" outlineLevel="0" collapsed="false">
      <c r="A15" s="5" t="s">
        <v>141</v>
      </c>
      <c r="B15" s="27" t="n">
        <f aca="false">B8*Допущения!$B$17</f>
        <v>3.6</v>
      </c>
      <c r="C15" s="27" t="n">
        <f aca="false">C8*Допущения!$B$17</f>
        <v>4.14</v>
      </c>
      <c r="D15" s="27" t="n">
        <f aca="false">D8*Допущения!$B$17</f>
        <v>4.761</v>
      </c>
      <c r="E15" s="27" t="n">
        <f aca="false">E8*Допущения!$B$17</f>
        <v>5.47515</v>
      </c>
      <c r="F15" s="27" t="n">
        <f aca="false">F8*Допущения!$B$17</f>
        <v>6.2964225</v>
      </c>
      <c r="G15" s="27" t="n">
        <f aca="false">G8*Допущения!$B$17</f>
        <v>7.240885875</v>
      </c>
      <c r="H15" s="27" t="n">
        <f aca="false">H8*Допущения!$B$17</f>
        <v>8.32701875625</v>
      </c>
      <c r="I15" s="27" t="n">
        <f aca="false">I8*Допущения!$B$17</f>
        <v>9.57607156968749</v>
      </c>
      <c r="J15" s="27" t="n">
        <f aca="false">J8*Допущения!$B$17</f>
        <v>11.0124823051406</v>
      </c>
      <c r="K15" s="27" t="n">
        <f aca="false">K8*Допущения!$B$17</f>
        <v>12.6643546509117</v>
      </c>
      <c r="L15" s="27" t="n">
        <f aca="false">L8*Допущения!$B$17</f>
        <v>14.5640078485485</v>
      </c>
      <c r="M15" s="27" t="n">
        <f aca="false">M8*Допущения!$B$17</f>
        <v>16.7486090258307</v>
      </c>
      <c r="N15" s="27" t="n">
        <f aca="false">N8*Допущения!$B$17</f>
        <v>17.7535255673806</v>
      </c>
      <c r="O15" s="27" t="n">
        <f aca="false">O8*Допущения!$B$17</f>
        <v>18.8187371014234</v>
      </c>
      <c r="P15" s="27" t="n">
        <f aca="false">P8*Допущения!$B$17</f>
        <v>19.9478613275088</v>
      </c>
      <c r="Q15" s="27" t="n">
        <f aca="false">Q8*Допущения!$B$17</f>
        <v>21.1447330071593</v>
      </c>
      <c r="R15" s="27" t="n">
        <f aca="false">R8*Допущения!$B$17</f>
        <v>22.4134169875889</v>
      </c>
      <c r="S15" s="27" t="n">
        <f aca="false">S8*Допущения!$B$17</f>
        <v>23.7582220068442</v>
      </c>
      <c r="T15" s="27" t="n">
        <f aca="false">T8*Допущения!$B$17</f>
        <v>25.1837153272549</v>
      </c>
      <c r="U15" s="27" t="n">
        <f aca="false">U8*Допущения!$B$17</f>
        <v>26.6947382468902</v>
      </c>
      <c r="V15" s="27" t="n">
        <f aca="false">V8*Допущения!$B$17</f>
        <v>28.2964225417036</v>
      </c>
      <c r="W15" s="27" t="n">
        <f aca="false">W8*Допущения!$B$17</f>
        <v>29.9942078942058</v>
      </c>
      <c r="X15" s="27" t="n">
        <f aca="false">X8*Допущения!$B$17</f>
        <v>31.7938603678582</v>
      </c>
      <c r="Y15" s="27" t="n">
        <f aca="false">Y8*Допущения!$B$17</f>
        <v>33.7014919899297</v>
      </c>
      <c r="Z15" s="27" t="n">
        <f aca="false">Z8*Допущения!$B$17</f>
        <v>34.7125367496276</v>
      </c>
      <c r="AA15" s="27" t="n">
        <f aca="false">AA8*Допущения!$B$17</f>
        <v>35.7539128521164</v>
      </c>
      <c r="AB15" s="27" t="n">
        <f aca="false">AB8*Допущения!$B$17</f>
        <v>36.8265302376799</v>
      </c>
      <c r="AC15" s="27" t="n">
        <f aca="false">AC8*Допущения!$B$17</f>
        <v>37.9313261448103</v>
      </c>
      <c r="AD15" s="27" t="n">
        <f aca="false">AD8*Допущения!$B$17</f>
        <v>39.0692659291546</v>
      </c>
      <c r="AE15" s="27" t="n">
        <f aca="false">AE8*Допущения!$B$17</f>
        <v>40.2413439070292</v>
      </c>
      <c r="AF15" s="27" t="n">
        <f aca="false">AF8*Допущения!$B$17</f>
        <v>41.4485842242401</v>
      </c>
      <c r="AG15" s="27" t="n">
        <f aca="false">AG8*Допущения!$B$17</f>
        <v>42.6920417509673</v>
      </c>
      <c r="AH15" s="27" t="n">
        <f aca="false">AH8*Допущения!$B$17</f>
        <v>43.9728030034963</v>
      </c>
      <c r="AI15" s="27" t="n">
        <f aca="false">AI8*Допущения!$B$17</f>
        <v>45.2919870936012</v>
      </c>
      <c r="AJ15" s="27" t="n">
        <f aca="false">AJ8*Допущения!$B$17</f>
        <v>46.6507467064093</v>
      </c>
      <c r="AK15" s="27" t="n">
        <f aca="false">AK8*Допущения!$B$17</f>
        <v>48.0502691076015</v>
      </c>
    </row>
    <row r="16" customFormat="false" ht="15" hidden="false" customHeight="false" outlineLevel="0" collapsed="false">
      <c r="A16" s="5" t="s">
        <v>21</v>
      </c>
      <c r="B16" s="27" t="n">
        <f aca="false">B9*Допущения!$B$19</f>
        <v>6.75</v>
      </c>
      <c r="C16" s="27" t="n">
        <f aca="false">C9*Допущения!$B$19</f>
        <v>7.7625</v>
      </c>
      <c r="D16" s="27" t="n">
        <f aca="false">D9*Допущения!$B$19</f>
        <v>8.926875</v>
      </c>
      <c r="E16" s="27" t="n">
        <f aca="false">E9*Допущения!$B$19</f>
        <v>10.26590625</v>
      </c>
      <c r="F16" s="27" t="n">
        <f aca="false">F9*Допущения!$B$19</f>
        <v>11.8057921875</v>
      </c>
      <c r="G16" s="27" t="n">
        <f aca="false">G9*Допущения!$B$19</f>
        <v>13.576661015625</v>
      </c>
      <c r="H16" s="27" t="n">
        <f aca="false">H9*Допущения!$B$19</f>
        <v>15.6131601679687</v>
      </c>
      <c r="I16" s="27" t="n">
        <f aca="false">I9*Допущения!$B$19</f>
        <v>17.9551341931641</v>
      </c>
      <c r="J16" s="27" t="n">
        <f aca="false">J9*Допущения!$B$19</f>
        <v>20.6484043221387</v>
      </c>
      <c r="K16" s="27" t="n">
        <f aca="false">K9*Допущения!$B$19</f>
        <v>23.7456649704595</v>
      </c>
      <c r="L16" s="27" t="n">
        <f aca="false">L9*Допущения!$B$19</f>
        <v>27.3075147160284</v>
      </c>
      <c r="M16" s="27" t="n">
        <f aca="false">M9*Допущения!$B$19</f>
        <v>31.4036419234326</v>
      </c>
      <c r="N16" s="27" t="n">
        <f aca="false">N9*Допущения!$B$19</f>
        <v>33.2878604388386</v>
      </c>
      <c r="O16" s="27" t="n">
        <f aca="false">O9*Допущения!$B$19</f>
        <v>35.2851320651689</v>
      </c>
      <c r="P16" s="27" t="n">
        <f aca="false">P9*Допущения!$B$19</f>
        <v>37.402239989079</v>
      </c>
      <c r="Q16" s="27" t="n">
        <f aca="false">Q9*Допущения!$B$19</f>
        <v>39.6463743884238</v>
      </c>
      <c r="R16" s="27" t="n">
        <f aca="false">R9*Допущения!$B$19</f>
        <v>42.0251568517292</v>
      </c>
      <c r="S16" s="27" t="n">
        <f aca="false">S9*Допущения!$B$19</f>
        <v>44.546666262833</v>
      </c>
      <c r="T16" s="27" t="n">
        <f aca="false">T9*Допущения!$B$19</f>
        <v>47.2194662386029</v>
      </c>
      <c r="U16" s="27" t="n">
        <f aca="false">U9*Допущения!$B$19</f>
        <v>50.0526342129191</v>
      </c>
      <c r="V16" s="27" t="n">
        <f aca="false">V9*Допущения!$B$19</f>
        <v>53.0557922656943</v>
      </c>
      <c r="W16" s="27" t="n">
        <f aca="false">W9*Допущения!$B$19</f>
        <v>56.2391398016359</v>
      </c>
      <c r="X16" s="27" t="n">
        <f aca="false">X9*Допущения!$B$19</f>
        <v>59.6134881897341</v>
      </c>
      <c r="Y16" s="27" t="n">
        <f aca="false">Y9*Допущения!$B$19</f>
        <v>63.1902974811181</v>
      </c>
      <c r="Z16" s="27" t="n">
        <f aca="false">Z9*Допущения!$B$19</f>
        <v>65.0860064055517</v>
      </c>
      <c r="AA16" s="27" t="n">
        <f aca="false">AA9*Допущения!$B$19</f>
        <v>67.0385865977182</v>
      </c>
      <c r="AB16" s="27" t="n">
        <f aca="false">AB9*Допущения!$B$19</f>
        <v>69.0497441956498</v>
      </c>
      <c r="AC16" s="27" t="n">
        <f aca="false">AC9*Допущения!$B$19</f>
        <v>71.1212365215193</v>
      </c>
      <c r="AD16" s="27" t="n">
        <f aca="false">AD9*Допущения!$B$19</f>
        <v>73.2548736171649</v>
      </c>
      <c r="AE16" s="27" t="n">
        <f aca="false">AE9*Допущения!$B$19</f>
        <v>75.4525198256798</v>
      </c>
      <c r="AF16" s="27" t="n">
        <f aca="false">AF9*Допущения!$B$19</f>
        <v>77.7160954204502</v>
      </c>
      <c r="AG16" s="27" t="n">
        <f aca="false">AG9*Допущения!$B$19</f>
        <v>80.0475782830637</v>
      </c>
      <c r="AH16" s="27" t="n">
        <f aca="false">AH9*Допущения!$B$19</f>
        <v>82.4490056315556</v>
      </c>
      <c r="AI16" s="27" t="n">
        <f aca="false">AI9*Допущения!$B$19</f>
        <v>84.9224758005023</v>
      </c>
      <c r="AJ16" s="27" t="n">
        <f aca="false">AJ9*Допущения!$B$19</f>
        <v>87.4701500745174</v>
      </c>
      <c r="AK16" s="27" t="n">
        <f aca="false">AK9*Допущения!$B$19</f>
        <v>90.0942545767529</v>
      </c>
    </row>
    <row r="17" customFormat="false" ht="15" hidden="false" customHeight="false" outlineLevel="0" collapsed="false">
      <c r="A17" s="5" t="s">
        <v>22</v>
      </c>
      <c r="B17" s="27" t="n">
        <f aca="false">B9*Допущения!$B$20</f>
        <v>1.8</v>
      </c>
      <c r="C17" s="27" t="n">
        <f aca="false">C9*Допущения!$B$20</f>
        <v>2.07</v>
      </c>
      <c r="D17" s="27" t="n">
        <f aca="false">D9*Допущения!$B$20</f>
        <v>2.3805</v>
      </c>
      <c r="E17" s="27" t="n">
        <f aca="false">E9*Допущения!$B$20</f>
        <v>2.737575</v>
      </c>
      <c r="F17" s="27" t="n">
        <f aca="false">F9*Допущения!$B$20</f>
        <v>3.14821125</v>
      </c>
      <c r="G17" s="27" t="n">
        <f aca="false">G9*Допущения!$B$20</f>
        <v>3.6204429375</v>
      </c>
      <c r="H17" s="27" t="n">
        <f aca="false">H9*Допущения!$B$20</f>
        <v>4.163509378125</v>
      </c>
      <c r="I17" s="27" t="n">
        <f aca="false">I9*Допущения!$B$20</f>
        <v>4.78803578484375</v>
      </c>
      <c r="J17" s="27" t="n">
        <f aca="false">J9*Допущения!$B$20</f>
        <v>5.50624115257031</v>
      </c>
      <c r="K17" s="27" t="n">
        <f aca="false">K9*Допущения!$B$20</f>
        <v>6.33217732545586</v>
      </c>
      <c r="L17" s="27" t="n">
        <f aca="false">L9*Допущения!$B$20</f>
        <v>7.28200392427423</v>
      </c>
      <c r="M17" s="27" t="n">
        <f aca="false">M9*Допущения!$B$20</f>
        <v>8.37430451291537</v>
      </c>
      <c r="N17" s="27" t="n">
        <f aca="false">N9*Допущения!$B$20</f>
        <v>8.87676278369029</v>
      </c>
      <c r="O17" s="27" t="n">
        <f aca="false">O9*Допущения!$B$20</f>
        <v>9.40936855071171</v>
      </c>
      <c r="P17" s="27" t="n">
        <f aca="false">P9*Допущения!$B$20</f>
        <v>9.97393066375441</v>
      </c>
      <c r="Q17" s="27" t="n">
        <f aca="false">Q9*Допущения!$B$20</f>
        <v>10.5723665035797</v>
      </c>
      <c r="R17" s="27" t="n">
        <f aca="false">R9*Допущения!$B$20</f>
        <v>11.2067084937945</v>
      </c>
      <c r="S17" s="27" t="n">
        <f aca="false">S9*Допущения!$B$20</f>
        <v>11.8791110034221</v>
      </c>
      <c r="T17" s="27" t="n">
        <f aca="false">T9*Допущения!$B$20</f>
        <v>12.5918576636275</v>
      </c>
      <c r="U17" s="27" t="n">
        <f aca="false">U9*Допущения!$B$20</f>
        <v>13.3473691234451</v>
      </c>
      <c r="V17" s="27" t="n">
        <f aca="false">V9*Допущения!$B$20</f>
        <v>14.1482112708518</v>
      </c>
      <c r="W17" s="27" t="n">
        <f aca="false">W9*Допущения!$B$20</f>
        <v>14.9971039471029</v>
      </c>
      <c r="X17" s="27" t="n">
        <f aca="false">X9*Допущения!$B$20</f>
        <v>15.8969301839291</v>
      </c>
      <c r="Y17" s="27" t="n">
        <f aca="false">Y9*Допущения!$B$20</f>
        <v>16.8507459949648</v>
      </c>
      <c r="Z17" s="27" t="n">
        <f aca="false">Z9*Допущения!$B$20</f>
        <v>17.3562683748138</v>
      </c>
      <c r="AA17" s="27" t="n">
        <f aca="false">AA9*Допущения!$B$20</f>
        <v>17.8769564260582</v>
      </c>
      <c r="AB17" s="27" t="n">
        <f aca="false">AB9*Допущения!$B$20</f>
        <v>18.4132651188399</v>
      </c>
      <c r="AC17" s="27" t="n">
        <f aca="false">AC9*Допущения!$B$20</f>
        <v>18.9656630724051</v>
      </c>
      <c r="AD17" s="27" t="n">
        <f aca="false">AD9*Допущения!$B$20</f>
        <v>19.5346329645773</v>
      </c>
      <c r="AE17" s="27" t="n">
        <f aca="false">AE9*Допущения!$B$20</f>
        <v>20.1206719535146</v>
      </c>
      <c r="AF17" s="27" t="n">
        <f aca="false">AF9*Допущения!$B$20</f>
        <v>20.7242921121201</v>
      </c>
      <c r="AG17" s="27" t="n">
        <f aca="false">AG9*Допущения!$B$20</f>
        <v>21.3460208754837</v>
      </c>
      <c r="AH17" s="27" t="n">
        <f aca="false">AH9*Допущения!$B$20</f>
        <v>21.9864015017482</v>
      </c>
      <c r="AI17" s="27" t="n">
        <f aca="false">AI9*Допущения!$B$20</f>
        <v>22.6459935468006</v>
      </c>
      <c r="AJ17" s="27" t="n">
        <f aca="false">AJ9*Допущения!$B$20</f>
        <v>23.3253733532046</v>
      </c>
      <c r="AK17" s="27" t="n">
        <f aca="false">AK9*Допущения!$B$20</f>
        <v>24.0251345538008</v>
      </c>
    </row>
    <row r="18" customFormat="false" ht="15" hidden="false" customHeight="false" outlineLevel="0" collapsed="false">
      <c r="A18" s="5" t="s">
        <v>142</v>
      </c>
      <c r="B18" s="27" t="n">
        <f aca="false">B9*Допущения!$B$21</f>
        <v>9</v>
      </c>
      <c r="C18" s="27" t="n">
        <f aca="false">C9*Допущения!$B$21</f>
        <v>10.35</v>
      </c>
      <c r="D18" s="27" t="n">
        <f aca="false">D9*Допущения!$B$21</f>
        <v>11.9025</v>
      </c>
      <c r="E18" s="27" t="n">
        <f aca="false">E9*Допущения!$B$21</f>
        <v>13.687875</v>
      </c>
      <c r="F18" s="27" t="n">
        <f aca="false">F9*Допущения!$B$21</f>
        <v>15.74105625</v>
      </c>
      <c r="G18" s="27" t="n">
        <f aca="false">G9*Допущения!$B$21</f>
        <v>18.1022146875</v>
      </c>
      <c r="H18" s="27" t="n">
        <f aca="false">H9*Допущения!$B$21</f>
        <v>20.817546890625</v>
      </c>
      <c r="I18" s="27" t="n">
        <f aca="false">I9*Допущения!$B$21</f>
        <v>23.9401789242187</v>
      </c>
      <c r="J18" s="27" t="n">
        <f aca="false">J9*Допущения!$B$21</f>
        <v>27.5312057628515</v>
      </c>
      <c r="K18" s="27" t="n">
        <f aca="false">K9*Допущения!$B$21</f>
        <v>31.6608866272793</v>
      </c>
      <c r="L18" s="27" t="n">
        <f aca="false">L9*Допущения!$B$21</f>
        <v>36.4100196213712</v>
      </c>
      <c r="M18" s="27" t="n">
        <f aca="false">M9*Допущения!$B$21</f>
        <v>41.8715225645768</v>
      </c>
      <c r="N18" s="27" t="n">
        <f aca="false">N9*Допущения!$B$21</f>
        <v>44.3838139184514</v>
      </c>
      <c r="O18" s="27" t="n">
        <f aca="false">O9*Допущения!$B$21</f>
        <v>47.0468427535585</v>
      </c>
      <c r="P18" s="27" t="n">
        <f aca="false">P9*Допущения!$B$21</f>
        <v>49.869653318772</v>
      </c>
      <c r="Q18" s="27" t="n">
        <f aca="false">Q9*Допущения!$B$21</f>
        <v>52.8618325178984</v>
      </c>
      <c r="R18" s="27" t="n">
        <f aca="false">R9*Допущения!$B$21</f>
        <v>56.0335424689723</v>
      </c>
      <c r="S18" s="27" t="n">
        <f aca="false">S9*Допущения!$B$21</f>
        <v>59.3955550171106</v>
      </c>
      <c r="T18" s="27" t="n">
        <f aca="false">T9*Допущения!$B$21</f>
        <v>62.9592883181373</v>
      </c>
      <c r="U18" s="27" t="n">
        <f aca="false">U9*Допущения!$B$21</f>
        <v>66.7368456172255</v>
      </c>
      <c r="V18" s="27" t="n">
        <f aca="false">V9*Допущения!$B$21</f>
        <v>70.741056354259</v>
      </c>
      <c r="W18" s="27" t="n">
        <f aca="false">W9*Допущения!$B$21</f>
        <v>74.9855197355146</v>
      </c>
      <c r="X18" s="27" t="n">
        <f aca="false">X9*Допущения!$B$21</f>
        <v>79.4846509196455</v>
      </c>
      <c r="Y18" s="27" t="n">
        <f aca="false">Y9*Допущения!$B$21</f>
        <v>84.2537299748242</v>
      </c>
      <c r="Z18" s="27" t="n">
        <f aca="false">Z9*Допущения!$B$21</f>
        <v>86.7813418740689</v>
      </c>
      <c r="AA18" s="27" t="n">
        <f aca="false">AA9*Допущения!$B$21</f>
        <v>89.384782130291</v>
      </c>
      <c r="AB18" s="27" t="n">
        <f aca="false">AB9*Допущения!$B$21</f>
        <v>92.0663255941997</v>
      </c>
      <c r="AC18" s="27" t="n">
        <f aca="false">AC9*Допущения!$B$21</f>
        <v>94.8283153620257</v>
      </c>
      <c r="AD18" s="27" t="n">
        <f aca="false">AD9*Допущения!$B$21</f>
        <v>97.6731648228865</v>
      </c>
      <c r="AE18" s="27" t="n">
        <f aca="false">AE9*Допущения!$B$21</f>
        <v>100.603359767573</v>
      </c>
      <c r="AF18" s="27" t="n">
        <f aca="false">AF9*Допущения!$B$21</f>
        <v>103.6214605606</v>
      </c>
      <c r="AG18" s="27" t="n">
        <f aca="false">AG9*Допущения!$B$21</f>
        <v>106.730104377418</v>
      </c>
      <c r="AH18" s="27" t="n">
        <f aca="false">AH9*Допущения!$B$21</f>
        <v>109.932007508741</v>
      </c>
      <c r="AI18" s="27" t="n">
        <f aca="false">AI9*Допущения!$B$21</f>
        <v>113.229967734003</v>
      </c>
      <c r="AJ18" s="27" t="n">
        <f aca="false">AJ9*Допущения!$B$21</f>
        <v>116.626866766023</v>
      </c>
      <c r="AK18" s="27" t="n">
        <f aca="false">AK9*Допущения!$B$21</f>
        <v>120.125672769004</v>
      </c>
    </row>
    <row r="19" customFormat="false" ht="15" hidden="false" customHeight="false" outlineLevel="0" collapsed="false">
      <c r="A19" s="5" t="s">
        <v>143</v>
      </c>
      <c r="B19" s="27" t="n">
        <f aca="false">B9*Допущения!$B$22</f>
        <v>0.675</v>
      </c>
      <c r="C19" s="27" t="n">
        <f aca="false">C9*Допущения!$B$22</f>
        <v>0.77625</v>
      </c>
      <c r="D19" s="27" t="n">
        <f aca="false">D9*Допущения!$B$22</f>
        <v>0.8926875</v>
      </c>
      <c r="E19" s="27" t="n">
        <f aca="false">E9*Допущения!$B$22</f>
        <v>1.026590625</v>
      </c>
      <c r="F19" s="27" t="n">
        <f aca="false">F9*Допущения!$B$22</f>
        <v>1.18057921875</v>
      </c>
      <c r="G19" s="27" t="n">
        <f aca="false">G9*Допущения!$B$22</f>
        <v>1.3576661015625</v>
      </c>
      <c r="H19" s="27" t="n">
        <f aca="false">H9*Допущения!$B$22</f>
        <v>1.56131601679687</v>
      </c>
      <c r="I19" s="27" t="n">
        <f aca="false">I9*Допущения!$B$22</f>
        <v>1.79551341931641</v>
      </c>
      <c r="J19" s="27" t="n">
        <f aca="false">J9*Допущения!$B$22</f>
        <v>2.06484043221387</v>
      </c>
      <c r="K19" s="27" t="n">
        <f aca="false">K9*Допущения!$B$22</f>
        <v>2.37456649704595</v>
      </c>
      <c r="L19" s="27" t="n">
        <f aca="false">L9*Допущения!$B$22</f>
        <v>2.73075147160284</v>
      </c>
      <c r="M19" s="27" t="n">
        <f aca="false">M9*Допущения!$B$22</f>
        <v>3.14036419234326</v>
      </c>
      <c r="N19" s="27" t="n">
        <f aca="false">N9*Допущения!$B$22</f>
        <v>3.32878604388386</v>
      </c>
      <c r="O19" s="27" t="n">
        <f aca="false">O9*Допущения!$B$22</f>
        <v>3.52851320651689</v>
      </c>
      <c r="P19" s="27" t="n">
        <f aca="false">P9*Допущения!$B$22</f>
        <v>3.7402239989079</v>
      </c>
      <c r="Q19" s="27" t="n">
        <f aca="false">Q9*Допущения!$B$22</f>
        <v>3.96463743884238</v>
      </c>
      <c r="R19" s="27" t="n">
        <f aca="false">R9*Допущения!$B$22</f>
        <v>4.20251568517292</v>
      </c>
      <c r="S19" s="27" t="n">
        <f aca="false">S9*Допущения!$B$22</f>
        <v>4.4546666262833</v>
      </c>
      <c r="T19" s="27" t="n">
        <f aca="false">T9*Допущения!$B$22</f>
        <v>4.72194662386029</v>
      </c>
      <c r="U19" s="27" t="n">
        <f aca="false">U9*Допущения!$B$22</f>
        <v>5.00526342129191</v>
      </c>
      <c r="V19" s="27" t="n">
        <f aca="false">V9*Допущения!$B$22</f>
        <v>5.30557922656943</v>
      </c>
      <c r="W19" s="27" t="n">
        <f aca="false">W9*Допущения!$B$22</f>
        <v>5.62391398016359</v>
      </c>
      <c r="X19" s="27" t="n">
        <f aca="false">X9*Допущения!$B$22</f>
        <v>5.96134881897341</v>
      </c>
      <c r="Y19" s="27" t="n">
        <f aca="false">Y9*Допущения!$B$22</f>
        <v>6.31902974811181</v>
      </c>
      <c r="Z19" s="27" t="n">
        <f aca="false">Z9*Допущения!$B$22</f>
        <v>6.50860064055517</v>
      </c>
      <c r="AA19" s="27" t="n">
        <f aca="false">AA9*Допущения!$B$22</f>
        <v>6.70385865977182</v>
      </c>
      <c r="AB19" s="27" t="n">
        <f aca="false">AB9*Допущения!$B$22</f>
        <v>6.90497441956498</v>
      </c>
      <c r="AC19" s="27" t="n">
        <f aca="false">AC9*Допущения!$B$22</f>
        <v>7.11212365215193</v>
      </c>
      <c r="AD19" s="27" t="n">
        <f aca="false">AD9*Допущения!$B$22</f>
        <v>7.32548736171649</v>
      </c>
      <c r="AE19" s="27" t="n">
        <f aca="false">AE9*Допущения!$B$22</f>
        <v>7.54525198256798</v>
      </c>
      <c r="AF19" s="27" t="n">
        <f aca="false">AF9*Допущения!$B$22</f>
        <v>7.77160954204502</v>
      </c>
      <c r="AG19" s="27" t="n">
        <f aca="false">AG9*Допущения!$B$22</f>
        <v>8.00475782830637</v>
      </c>
      <c r="AH19" s="27" t="n">
        <f aca="false">AH9*Допущения!$B$22</f>
        <v>8.24490056315556</v>
      </c>
      <c r="AI19" s="27" t="n">
        <f aca="false">AI9*Допущения!$B$22</f>
        <v>8.49224758005023</v>
      </c>
      <c r="AJ19" s="27" t="n">
        <f aca="false">AJ9*Допущения!$B$22</f>
        <v>8.74701500745174</v>
      </c>
      <c r="AK19" s="27" t="n">
        <f aca="false">AK9*Допущения!$B$22</f>
        <v>9.00942545767529</v>
      </c>
    </row>
    <row r="20" customFormat="false" ht="15" hidden="false" customHeight="false" outlineLevel="0" collapsed="false">
      <c r="A20" s="8" t="s">
        <v>144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Format="false" ht="15" hidden="false" customHeight="false" outlineLevel="0" collapsed="false">
      <c r="A21" s="5" t="s">
        <v>16</v>
      </c>
      <c r="B21" s="27" t="n">
        <f aca="false">B11*Допущения!$B$24</f>
        <v>13500</v>
      </c>
      <c r="C21" s="27" t="n">
        <f aca="false">C11*Допущения!$B$24</f>
        <v>15525</v>
      </c>
      <c r="D21" s="27" t="n">
        <f aca="false">D11*Допущения!$B$24</f>
        <v>17853.75</v>
      </c>
      <c r="E21" s="27" t="n">
        <f aca="false">E11*Допущения!$B$24</f>
        <v>20531.8125</v>
      </c>
      <c r="F21" s="27" t="n">
        <f aca="false">F11*Допущения!$B$24</f>
        <v>23611.584375</v>
      </c>
      <c r="G21" s="27" t="n">
        <f aca="false">G11*Допущения!$B$24</f>
        <v>27153.32203125</v>
      </c>
      <c r="H21" s="27" t="n">
        <f aca="false">H11*Допущения!$B$24</f>
        <v>31226.3203359375</v>
      </c>
      <c r="I21" s="27" t="n">
        <f aca="false">I11*Допущения!$B$24</f>
        <v>35910.2683863281</v>
      </c>
      <c r="J21" s="27" t="n">
        <f aca="false">J11*Допущения!$B$24</f>
        <v>41296.8086442773</v>
      </c>
      <c r="K21" s="27" t="n">
        <f aca="false">K11*Допущения!$B$24</f>
        <v>47491.3299409189</v>
      </c>
      <c r="L21" s="27" t="n">
        <f aca="false">L11*Допущения!$B$24</f>
        <v>54615.0294320567</v>
      </c>
      <c r="M21" s="27" t="n">
        <f aca="false">M11*Допущения!$B$24</f>
        <v>62807.2838468652</v>
      </c>
      <c r="N21" s="27" t="n">
        <f aca="false">N11*Допущения!$B$24</f>
        <v>66575.7208776772</v>
      </c>
      <c r="O21" s="27" t="n">
        <f aca="false">O11*Допущения!$B$24</f>
        <v>70570.2641303378</v>
      </c>
      <c r="P21" s="27" t="n">
        <f aca="false">P11*Допущения!$B$24</f>
        <v>74804.4799781581</v>
      </c>
      <c r="Q21" s="27" t="n">
        <f aca="false">Q11*Допущения!$B$24</f>
        <v>79292.7487768475</v>
      </c>
      <c r="R21" s="27" t="n">
        <f aca="false">R11*Допущения!$B$24</f>
        <v>84050.3137034584</v>
      </c>
      <c r="S21" s="27" t="n">
        <f aca="false">S11*Допущения!$B$24</f>
        <v>89093.3325256659</v>
      </c>
      <c r="T21" s="27" t="n">
        <f aca="false">T11*Допущения!$B$24</f>
        <v>94438.9324772059</v>
      </c>
      <c r="U21" s="27" t="n">
        <f aca="false">U11*Допущения!$B$24</f>
        <v>100105.268425838</v>
      </c>
      <c r="V21" s="27" t="n">
        <f aca="false">V11*Допущения!$B$24</f>
        <v>106111.584531389</v>
      </c>
      <c r="W21" s="27" t="n">
        <f aca="false">W11*Допущения!$B$24</f>
        <v>112478.279603272</v>
      </c>
      <c r="X21" s="27" t="n">
        <f aca="false">X11*Допущения!$B$24</f>
        <v>119226.976379468</v>
      </c>
      <c r="Y21" s="27" t="n">
        <f aca="false">Y11*Допущения!$B$24</f>
        <v>126380.594962236</v>
      </c>
      <c r="Z21" s="27" t="n">
        <f aca="false">Z11*Допущения!$B$24</f>
        <v>130172.012811103</v>
      </c>
      <c r="AA21" s="27" t="n">
        <f aca="false">AA11*Допущения!$B$24</f>
        <v>134077.173195436</v>
      </c>
      <c r="AB21" s="27" t="n">
        <f aca="false">AB11*Допущения!$B$24</f>
        <v>138099.4883913</v>
      </c>
      <c r="AC21" s="27" t="n">
        <f aca="false">AC11*Допущения!$B$24</f>
        <v>142242.473043039</v>
      </c>
      <c r="AD21" s="27" t="n">
        <f aca="false">AD11*Допущения!$B$24</f>
        <v>146509.74723433</v>
      </c>
      <c r="AE21" s="27" t="n">
        <f aca="false">AE11*Допущения!$B$24</f>
        <v>150905.03965136</v>
      </c>
      <c r="AF21" s="27" t="n">
        <f aca="false">AF11*Допущения!$B$24</f>
        <v>155432.1908409</v>
      </c>
      <c r="AG21" s="27" t="n">
        <f aca="false">AG11*Допущения!$B$24</f>
        <v>160095.156566127</v>
      </c>
      <c r="AH21" s="27" t="n">
        <f aca="false">AH11*Допущения!$B$24</f>
        <v>164898.011263111</v>
      </c>
      <c r="AI21" s="27" t="n">
        <f aca="false">AI11*Допущения!$B$24</f>
        <v>169844.951601005</v>
      </c>
      <c r="AJ21" s="27" t="n">
        <f aca="false">AJ11*Допущения!$B$24</f>
        <v>174940.300149035</v>
      </c>
      <c r="AK21" s="27" t="n">
        <f aca="false">AK11*Допущения!$B$24</f>
        <v>180188.509153506</v>
      </c>
    </row>
    <row r="22" customFormat="false" ht="15" hidden="false" customHeight="false" outlineLevel="0" collapsed="false">
      <c r="A22" s="5" t="s">
        <v>17</v>
      </c>
      <c r="B22" s="27" t="n">
        <f aca="false">B12*Допущения!$B$25</f>
        <v>5400</v>
      </c>
      <c r="C22" s="27" t="n">
        <f aca="false">C12*Допущения!$B$25</f>
        <v>6210</v>
      </c>
      <c r="D22" s="27" t="n">
        <f aca="false">D12*Допущения!$B$25</f>
        <v>7141.5</v>
      </c>
      <c r="E22" s="27" t="n">
        <f aca="false">E12*Допущения!$B$25</f>
        <v>8212.725</v>
      </c>
      <c r="F22" s="27" t="n">
        <f aca="false">F12*Допущения!$B$25</f>
        <v>9444.63375</v>
      </c>
      <c r="G22" s="27" t="n">
        <f aca="false">G12*Допущения!$B$25</f>
        <v>10861.3288125</v>
      </c>
      <c r="H22" s="27" t="n">
        <f aca="false">H12*Допущения!$B$25</f>
        <v>12490.528134375</v>
      </c>
      <c r="I22" s="27" t="n">
        <f aca="false">I12*Допущения!$B$25</f>
        <v>14364.1073545312</v>
      </c>
      <c r="J22" s="27" t="n">
        <f aca="false">J12*Допущения!$B$25</f>
        <v>16518.7234577109</v>
      </c>
      <c r="K22" s="27" t="n">
        <f aca="false">K12*Допущения!$B$25</f>
        <v>18996.5319763676</v>
      </c>
      <c r="L22" s="27" t="n">
        <f aca="false">L12*Допущения!$B$25</f>
        <v>21846.0117728227</v>
      </c>
      <c r="M22" s="27" t="n">
        <f aca="false">M12*Допущения!$B$25</f>
        <v>25122.9135387461</v>
      </c>
      <c r="N22" s="27" t="n">
        <f aca="false">N12*Допущения!$B$25</f>
        <v>26630.2883510709</v>
      </c>
      <c r="O22" s="27" t="n">
        <f aca="false">O12*Допущения!$B$25</f>
        <v>28228.1056521351</v>
      </c>
      <c r="P22" s="27" t="n">
        <f aca="false">P12*Допущения!$B$25</f>
        <v>29921.7919912632</v>
      </c>
      <c r="Q22" s="27" t="n">
        <f aca="false">Q12*Допущения!$B$25</f>
        <v>31717.099510739</v>
      </c>
      <c r="R22" s="27" t="n">
        <f aca="false">R12*Допущения!$B$25</f>
        <v>33620.1254813834</v>
      </c>
      <c r="S22" s="27" t="n">
        <f aca="false">S12*Допущения!$B$25</f>
        <v>35637.3330102664</v>
      </c>
      <c r="T22" s="27" t="n">
        <f aca="false">T12*Допущения!$B$25</f>
        <v>37775.5729908824</v>
      </c>
      <c r="U22" s="27" t="n">
        <f aca="false">U12*Допущения!$B$25</f>
        <v>40042.1073703353</v>
      </c>
      <c r="V22" s="27" t="n">
        <f aca="false">V12*Допущения!$B$25</f>
        <v>42444.6338125554</v>
      </c>
      <c r="W22" s="27" t="n">
        <f aca="false">W12*Допущения!$B$25</f>
        <v>44991.3118413087</v>
      </c>
      <c r="X22" s="27" t="n">
        <f aca="false">X12*Допущения!$B$25</f>
        <v>47690.7905517873</v>
      </c>
      <c r="Y22" s="27" t="n">
        <f aca="false">Y12*Допущения!$B$25</f>
        <v>50552.2379848945</v>
      </c>
      <c r="Z22" s="27" t="n">
        <f aca="false">Z12*Допущения!$B$25</f>
        <v>52068.8051244413</v>
      </c>
      <c r="AA22" s="27" t="n">
        <f aca="false">AA12*Допущения!$B$25</f>
        <v>53630.8692781746</v>
      </c>
      <c r="AB22" s="27" t="n">
        <f aca="false">AB12*Допущения!$B$25</f>
        <v>55239.7953565198</v>
      </c>
      <c r="AC22" s="27" t="n">
        <f aca="false">AC12*Допущения!$B$25</f>
        <v>56896.9892172154</v>
      </c>
      <c r="AD22" s="27" t="n">
        <f aca="false">AD12*Допущения!$B$25</f>
        <v>58603.8988937319</v>
      </c>
      <c r="AE22" s="27" t="n">
        <f aca="false">AE12*Допущения!$B$25</f>
        <v>60362.0158605439</v>
      </c>
      <c r="AF22" s="27" t="n">
        <f aca="false">AF12*Допущения!$B$25</f>
        <v>62172.8763363602</v>
      </c>
      <c r="AG22" s="27" t="n">
        <f aca="false">AG12*Допущения!$B$25</f>
        <v>64038.062626451</v>
      </c>
      <c r="AH22" s="27" t="n">
        <f aca="false">AH12*Допущения!$B$25</f>
        <v>65959.2045052445</v>
      </c>
      <c r="AI22" s="27" t="n">
        <f aca="false">AI12*Допущения!$B$25</f>
        <v>67937.9806404019</v>
      </c>
      <c r="AJ22" s="27" t="n">
        <f aca="false">AJ12*Допущения!$B$25</f>
        <v>69976.1200596139</v>
      </c>
      <c r="AK22" s="27" t="n">
        <f aca="false">AK12*Допущения!$B$25</f>
        <v>72075.4036614023</v>
      </c>
    </row>
    <row r="23" customFormat="false" ht="15" hidden="false" customHeight="false" outlineLevel="0" collapsed="false">
      <c r="A23" s="5" t="s">
        <v>18</v>
      </c>
      <c r="B23" s="27" t="n">
        <f aca="false">B13*Допущения!$B$26</f>
        <v>20250</v>
      </c>
      <c r="C23" s="27" t="n">
        <f aca="false">C13*Допущения!$B$26</f>
        <v>23287.5</v>
      </c>
      <c r="D23" s="27" t="n">
        <f aca="false">D13*Допущения!$B$26</f>
        <v>26780.625</v>
      </c>
      <c r="E23" s="27" t="n">
        <f aca="false">E13*Допущения!$B$26</f>
        <v>30797.71875</v>
      </c>
      <c r="F23" s="27" t="n">
        <f aca="false">F13*Допущения!$B$26</f>
        <v>35417.3765625</v>
      </c>
      <c r="G23" s="27" t="n">
        <f aca="false">G13*Допущения!$B$26</f>
        <v>40729.983046875</v>
      </c>
      <c r="H23" s="27" t="n">
        <f aca="false">H13*Допущения!$B$26</f>
        <v>46839.4805039062</v>
      </c>
      <c r="I23" s="27" t="n">
        <f aca="false">I13*Допущения!$B$26</f>
        <v>53865.4025794922</v>
      </c>
      <c r="J23" s="27" t="n">
        <f aca="false">J13*Допущения!$B$26</f>
        <v>61945.212966416</v>
      </c>
      <c r="K23" s="27" t="n">
        <f aca="false">K13*Допущения!$B$26</f>
        <v>71236.9949113784</v>
      </c>
      <c r="L23" s="27" t="n">
        <f aca="false">L13*Допущения!$B$26</f>
        <v>81922.5441480851</v>
      </c>
      <c r="M23" s="27" t="n">
        <f aca="false">M13*Допущения!$B$26</f>
        <v>94210.9257702979</v>
      </c>
      <c r="N23" s="27" t="n">
        <f aca="false">N13*Допущения!$B$26</f>
        <v>99863.5813165157</v>
      </c>
      <c r="O23" s="27" t="n">
        <f aca="false">O13*Допущения!$B$26</f>
        <v>105855.396195507</v>
      </c>
      <c r="P23" s="27" t="n">
        <f aca="false">P13*Допущения!$B$26</f>
        <v>112206.719967237</v>
      </c>
      <c r="Q23" s="27" t="n">
        <f aca="false">Q13*Допущения!$B$26</f>
        <v>118939.123165271</v>
      </c>
      <c r="R23" s="27" t="n">
        <f aca="false">R13*Допущения!$B$26</f>
        <v>126075.470555188</v>
      </c>
      <c r="S23" s="27" t="n">
        <f aca="false">S13*Допущения!$B$26</f>
        <v>133639.998788499</v>
      </c>
      <c r="T23" s="27" t="n">
        <f aca="false">T13*Допущения!$B$26</f>
        <v>141658.398715809</v>
      </c>
      <c r="U23" s="27" t="n">
        <f aca="false">U13*Допущения!$B$26</f>
        <v>150157.902638757</v>
      </c>
      <c r="V23" s="27" t="n">
        <f aca="false">V13*Допущения!$B$26</f>
        <v>159167.376797083</v>
      </c>
      <c r="W23" s="27" t="n">
        <f aca="false">W13*Допущения!$B$26</f>
        <v>168717.419404908</v>
      </c>
      <c r="X23" s="27" t="n">
        <f aca="false">X13*Допущения!$B$26</f>
        <v>178840.464569202</v>
      </c>
      <c r="Y23" s="27" t="n">
        <f aca="false">Y13*Допущения!$B$26</f>
        <v>189570.892443354</v>
      </c>
      <c r="Z23" s="27" t="n">
        <f aca="false">Z13*Допущения!$B$26</f>
        <v>195258.019216655</v>
      </c>
      <c r="AA23" s="27" t="n">
        <f aca="false">AA13*Допущения!$B$26</f>
        <v>201115.759793155</v>
      </c>
      <c r="AB23" s="27" t="n">
        <f aca="false">AB13*Допущения!$B$26</f>
        <v>207149.232586949</v>
      </c>
      <c r="AC23" s="27" t="n">
        <f aca="false">AC13*Допущения!$B$26</f>
        <v>213363.709564558</v>
      </c>
      <c r="AD23" s="27" t="n">
        <f aca="false">AD13*Допущения!$B$26</f>
        <v>219764.620851495</v>
      </c>
      <c r="AE23" s="27" t="n">
        <f aca="false">AE13*Допущения!$B$26</f>
        <v>226357.559477039</v>
      </c>
      <c r="AF23" s="27" t="n">
        <f aca="false">AF13*Допущения!$B$26</f>
        <v>233148.286261351</v>
      </c>
      <c r="AG23" s="27" t="n">
        <f aca="false">AG13*Допущения!$B$26</f>
        <v>240142.734849191</v>
      </c>
      <c r="AH23" s="27" t="n">
        <f aca="false">AH13*Допущения!$B$26</f>
        <v>247347.016894667</v>
      </c>
      <c r="AI23" s="27" t="n">
        <f aca="false">AI13*Допущения!$B$26</f>
        <v>254767.427401507</v>
      </c>
      <c r="AJ23" s="27" t="n">
        <f aca="false">AJ13*Допущения!$B$26</f>
        <v>262410.450223552</v>
      </c>
      <c r="AK23" s="27" t="n">
        <f aca="false">AK13*Допущения!$B$26</f>
        <v>270282.763730259</v>
      </c>
    </row>
    <row r="24" customFormat="false" ht="15" hidden="false" customHeight="false" outlineLevel="0" collapsed="false">
      <c r="A24" s="5" t="s">
        <v>19</v>
      </c>
      <c r="B24" s="27" t="n">
        <f aca="false">B14*Допущения!$B$27</f>
        <v>27000</v>
      </c>
      <c r="C24" s="27" t="n">
        <f aca="false">C14*Допущения!$B$27</f>
        <v>31050</v>
      </c>
      <c r="D24" s="27" t="n">
        <f aca="false">D14*Допущения!$B$27</f>
        <v>35707.5</v>
      </c>
      <c r="E24" s="27" t="n">
        <f aca="false">E14*Допущения!$B$27</f>
        <v>41063.625</v>
      </c>
      <c r="F24" s="27" t="n">
        <f aca="false">F14*Допущения!$B$27</f>
        <v>47223.16875</v>
      </c>
      <c r="G24" s="27" t="n">
        <f aca="false">G14*Допущения!$B$27</f>
        <v>54306.6440625</v>
      </c>
      <c r="H24" s="27" t="n">
        <f aca="false">H14*Допущения!$B$27</f>
        <v>62452.640671875</v>
      </c>
      <c r="I24" s="27" t="n">
        <f aca="false">I14*Допущения!$B$27</f>
        <v>71820.5367726562</v>
      </c>
      <c r="J24" s="27" t="n">
        <f aca="false">J14*Допущения!$B$27</f>
        <v>82593.6172885546</v>
      </c>
      <c r="K24" s="27" t="n">
        <f aca="false">K14*Допущения!$B$27</f>
        <v>94982.6598818378</v>
      </c>
      <c r="L24" s="27" t="n">
        <f aca="false">L14*Допущения!$B$27</f>
        <v>109230.058864114</v>
      </c>
      <c r="M24" s="27" t="n">
        <f aca="false">M14*Допущения!$B$27</f>
        <v>125614.567693731</v>
      </c>
      <c r="N24" s="27" t="n">
        <f aca="false">N14*Допущения!$B$27</f>
        <v>133151.441755354</v>
      </c>
      <c r="O24" s="27" t="n">
        <f aca="false">O14*Допущения!$B$27</f>
        <v>141140.528260676</v>
      </c>
      <c r="P24" s="27" t="n">
        <f aca="false">P14*Допущения!$B$27</f>
        <v>149608.959956316</v>
      </c>
      <c r="Q24" s="27" t="n">
        <f aca="false">Q14*Допущения!$B$27</f>
        <v>158585.497553695</v>
      </c>
      <c r="R24" s="27" t="n">
        <f aca="false">R14*Допущения!$B$27</f>
        <v>168100.627406917</v>
      </c>
      <c r="S24" s="27" t="n">
        <f aca="false">S14*Допущения!$B$27</f>
        <v>178186.665051332</v>
      </c>
      <c r="T24" s="27" t="n">
        <f aca="false">T14*Допущения!$B$27</f>
        <v>188877.864954412</v>
      </c>
      <c r="U24" s="27" t="n">
        <f aca="false">U14*Допущения!$B$27</f>
        <v>200210.536851676</v>
      </c>
      <c r="V24" s="27" t="n">
        <f aca="false">V14*Допущения!$B$27</f>
        <v>212223.169062777</v>
      </c>
      <c r="W24" s="27" t="n">
        <f aca="false">W14*Допущения!$B$27</f>
        <v>224956.559206544</v>
      </c>
      <c r="X24" s="27" t="n">
        <f aca="false">X14*Допущения!$B$27</f>
        <v>238453.952758936</v>
      </c>
      <c r="Y24" s="27" t="n">
        <f aca="false">Y14*Допущения!$B$27</f>
        <v>252761.189924473</v>
      </c>
      <c r="Z24" s="27" t="n">
        <f aca="false">Z14*Допущения!$B$27</f>
        <v>260344.025622207</v>
      </c>
      <c r="AA24" s="27" t="n">
        <f aca="false">AA14*Допущения!$B$27</f>
        <v>268154.346390873</v>
      </c>
      <c r="AB24" s="27" t="n">
        <f aca="false">AB14*Допущения!$B$27</f>
        <v>276198.976782599</v>
      </c>
      <c r="AC24" s="27" t="n">
        <f aca="false">AC14*Допущения!$B$27</f>
        <v>284484.946086077</v>
      </c>
      <c r="AD24" s="27" t="n">
        <f aca="false">AD14*Допущения!$B$27</f>
        <v>293019.494468659</v>
      </c>
      <c r="AE24" s="27" t="n">
        <f aca="false">AE14*Допущения!$B$27</f>
        <v>301810.079302719</v>
      </c>
      <c r="AF24" s="27" t="n">
        <f aca="false">AF14*Допущения!$B$27</f>
        <v>310864.381681801</v>
      </c>
      <c r="AG24" s="27" t="n">
        <f aca="false">AG14*Допущения!$B$27</f>
        <v>320190.313132255</v>
      </c>
      <c r="AH24" s="27" t="n">
        <f aca="false">AH14*Допущения!$B$27</f>
        <v>329796.022526222</v>
      </c>
      <c r="AI24" s="27" t="n">
        <f aca="false">AI14*Допущения!$B$27</f>
        <v>339689.903202009</v>
      </c>
      <c r="AJ24" s="27" t="n">
        <f aca="false">AJ14*Допущения!$B$27</f>
        <v>349880.600298069</v>
      </c>
      <c r="AK24" s="27" t="n">
        <f aca="false">AK14*Допущения!$B$27</f>
        <v>360377.018307012</v>
      </c>
    </row>
    <row r="25" customFormat="false" ht="15" hidden="false" customHeight="false" outlineLevel="0" collapsed="false">
      <c r="A25" s="5" t="s">
        <v>20</v>
      </c>
      <c r="B25" s="27" t="n">
        <f aca="false">B15*Допущения!$B$28</f>
        <v>1620</v>
      </c>
      <c r="C25" s="27" t="n">
        <f aca="false">C15*Допущения!$B$28</f>
        <v>1863</v>
      </c>
      <c r="D25" s="27" t="n">
        <f aca="false">D15*Допущения!$B$28</f>
        <v>2142.45</v>
      </c>
      <c r="E25" s="27" t="n">
        <f aca="false">E15*Допущения!$B$28</f>
        <v>2463.8175</v>
      </c>
      <c r="F25" s="27" t="n">
        <f aca="false">F15*Допущения!$B$28</f>
        <v>2833.390125</v>
      </c>
      <c r="G25" s="27" t="n">
        <f aca="false">G15*Допущения!$B$28</f>
        <v>3258.39864375</v>
      </c>
      <c r="H25" s="27" t="n">
        <f aca="false">H15*Допущения!$B$28</f>
        <v>3747.1584403125</v>
      </c>
      <c r="I25" s="27" t="n">
        <f aca="false">I15*Допущения!$B$28</f>
        <v>4309.23220635937</v>
      </c>
      <c r="J25" s="27" t="n">
        <f aca="false">J15*Допущения!$B$28</f>
        <v>4955.61703731328</v>
      </c>
      <c r="K25" s="27" t="n">
        <f aca="false">K15*Допущения!$B$28</f>
        <v>5698.95959291027</v>
      </c>
      <c r="L25" s="27" t="n">
        <f aca="false">L15*Допущения!$B$28</f>
        <v>6553.80353184681</v>
      </c>
      <c r="M25" s="27" t="n">
        <f aca="false">M15*Допущения!$B$28</f>
        <v>7536.87406162383</v>
      </c>
      <c r="N25" s="27" t="n">
        <f aca="false">N15*Допущения!$B$28</f>
        <v>7989.08650532126</v>
      </c>
      <c r="O25" s="27" t="n">
        <f aca="false">O15*Допущения!$B$28</f>
        <v>8468.43169564054</v>
      </c>
      <c r="P25" s="27" t="n">
        <f aca="false">P15*Допущения!$B$28</f>
        <v>8976.53759737897</v>
      </c>
      <c r="Q25" s="27" t="n">
        <f aca="false">Q15*Допущения!$B$28</f>
        <v>9515.1298532217</v>
      </c>
      <c r="R25" s="27" t="n">
        <f aca="false">R15*Допущения!$B$28</f>
        <v>10086.037644415</v>
      </c>
      <c r="S25" s="27" t="n">
        <f aca="false">S15*Допущения!$B$28</f>
        <v>10691.1999030799</v>
      </c>
      <c r="T25" s="27" t="n">
        <f aca="false">T15*Допущения!$B$28</f>
        <v>11332.6718972647</v>
      </c>
      <c r="U25" s="27" t="n">
        <f aca="false">U15*Допущения!$B$28</f>
        <v>12012.6322111006</v>
      </c>
      <c r="V25" s="27" t="n">
        <f aca="false">V15*Допущения!$B$28</f>
        <v>12733.3901437666</v>
      </c>
      <c r="W25" s="27" t="n">
        <f aca="false">W15*Допущения!$B$28</f>
        <v>13497.3935523926</v>
      </c>
      <c r="X25" s="27" t="n">
        <f aca="false">X15*Допущения!$B$28</f>
        <v>14307.2371655362</v>
      </c>
      <c r="Y25" s="27" t="n">
        <f aca="false">Y15*Допущения!$B$28</f>
        <v>15165.6713954684</v>
      </c>
      <c r="Z25" s="27" t="n">
        <f aca="false">Z15*Допущения!$B$28</f>
        <v>15620.6415373324</v>
      </c>
      <c r="AA25" s="27" t="n">
        <f aca="false">AA15*Допущения!$B$28</f>
        <v>16089.2607834524</v>
      </c>
      <c r="AB25" s="27" t="n">
        <f aca="false">AB15*Допущения!$B$28</f>
        <v>16571.9386069559</v>
      </c>
      <c r="AC25" s="27" t="n">
        <f aca="false">AC15*Допущения!$B$28</f>
        <v>17069.0967651646</v>
      </c>
      <c r="AD25" s="27" t="n">
        <f aca="false">AD15*Допущения!$B$28</f>
        <v>17581.1696681196</v>
      </c>
      <c r="AE25" s="27" t="n">
        <f aca="false">AE15*Допущения!$B$28</f>
        <v>18108.6047581632</v>
      </c>
      <c r="AF25" s="27" t="n">
        <f aca="false">AF15*Допущения!$B$28</f>
        <v>18651.862900908</v>
      </c>
      <c r="AG25" s="27" t="n">
        <f aca="false">AG15*Допущения!$B$28</f>
        <v>19211.4187879353</v>
      </c>
      <c r="AH25" s="27" t="n">
        <f aca="false">AH15*Допущения!$B$28</f>
        <v>19787.7613515734</v>
      </c>
      <c r="AI25" s="27" t="n">
        <f aca="false">AI15*Допущения!$B$28</f>
        <v>20381.3941921206</v>
      </c>
      <c r="AJ25" s="27" t="n">
        <f aca="false">AJ15*Допущения!$B$28</f>
        <v>20992.8360178842</v>
      </c>
      <c r="AK25" s="27" t="n">
        <f aca="false">AK15*Допущения!$B$28</f>
        <v>21622.6210984207</v>
      </c>
    </row>
    <row r="26" customFormat="false" ht="15" hidden="false" customHeight="false" outlineLevel="0" collapsed="false">
      <c r="A26" s="5" t="s">
        <v>21</v>
      </c>
      <c r="B26" s="27" t="n">
        <f aca="false">B16*Допущения!$B$29</f>
        <v>10125</v>
      </c>
      <c r="C26" s="27" t="n">
        <f aca="false">C16*Допущения!$B$29</f>
        <v>11643.75</v>
      </c>
      <c r="D26" s="27" t="n">
        <f aca="false">D16*Допущения!$B$29</f>
        <v>13390.3125</v>
      </c>
      <c r="E26" s="27" t="n">
        <f aca="false">E16*Допущения!$B$29</f>
        <v>15398.859375</v>
      </c>
      <c r="F26" s="27" t="n">
        <f aca="false">F16*Допущения!$B$29</f>
        <v>17708.68828125</v>
      </c>
      <c r="G26" s="27" t="n">
        <f aca="false">G16*Допущения!$B$29</f>
        <v>20364.9915234375</v>
      </c>
      <c r="H26" s="27" t="n">
        <f aca="false">H16*Допущения!$B$29</f>
        <v>23419.7402519531</v>
      </c>
      <c r="I26" s="27" t="n">
        <f aca="false">I16*Допущения!$B$29</f>
        <v>26932.7012897461</v>
      </c>
      <c r="J26" s="27" t="n">
        <f aca="false">J16*Допущения!$B$29</f>
        <v>30972.606483208</v>
      </c>
      <c r="K26" s="27" t="n">
        <f aca="false">K16*Допущения!$B$29</f>
        <v>35618.4974556892</v>
      </c>
      <c r="L26" s="27" t="n">
        <f aca="false">L16*Допущения!$B$29</f>
        <v>40961.2720740426</v>
      </c>
      <c r="M26" s="27" t="n">
        <f aca="false">M16*Допущения!$B$29</f>
        <v>47105.4628851489</v>
      </c>
      <c r="N26" s="27" t="n">
        <f aca="false">N16*Допущения!$B$29</f>
        <v>49931.7906582579</v>
      </c>
      <c r="O26" s="27" t="n">
        <f aca="false">O16*Допущения!$B$29</f>
        <v>52927.6980977533</v>
      </c>
      <c r="P26" s="27" t="n">
        <f aca="false">P16*Допущения!$B$29</f>
        <v>56103.3599836185</v>
      </c>
      <c r="Q26" s="27" t="n">
        <f aca="false">Q16*Допущения!$B$29</f>
        <v>59469.5615826357</v>
      </c>
      <c r="R26" s="27" t="n">
        <f aca="false">R16*Допущения!$B$29</f>
        <v>63037.7352775938</v>
      </c>
      <c r="S26" s="27" t="n">
        <f aca="false">S16*Допущения!$B$29</f>
        <v>66819.9993942494</v>
      </c>
      <c r="T26" s="27" t="n">
        <f aca="false">T16*Допущения!$B$29</f>
        <v>70829.1993579044</v>
      </c>
      <c r="U26" s="27" t="n">
        <f aca="false">U16*Допущения!$B$29</f>
        <v>75078.9513193787</v>
      </c>
      <c r="V26" s="27" t="n">
        <f aca="false">V16*Допущения!$B$29</f>
        <v>79583.6883985414</v>
      </c>
      <c r="W26" s="27" t="n">
        <f aca="false">W16*Допущения!$B$29</f>
        <v>84358.7097024539</v>
      </c>
      <c r="X26" s="27" t="n">
        <f aca="false">X16*Допущения!$B$29</f>
        <v>89420.2322846011</v>
      </c>
      <c r="Y26" s="27" t="n">
        <f aca="false">Y16*Допущения!$B$29</f>
        <v>94785.4462216772</v>
      </c>
      <c r="Z26" s="27" t="n">
        <f aca="false">Z16*Допущения!$B$29</f>
        <v>97629.0096083275</v>
      </c>
      <c r="AA26" s="27" t="n">
        <f aca="false">AA16*Допущения!$B$29</f>
        <v>100557.879896577</v>
      </c>
      <c r="AB26" s="27" t="n">
        <f aca="false">AB16*Допущения!$B$29</f>
        <v>103574.616293475</v>
      </c>
      <c r="AC26" s="27" t="n">
        <f aca="false">AC16*Допущения!$B$29</f>
        <v>106681.854782279</v>
      </c>
      <c r="AD26" s="27" t="n">
        <f aca="false">AD16*Допущения!$B$29</f>
        <v>109882.310425747</v>
      </c>
      <c r="AE26" s="27" t="n">
        <f aca="false">AE16*Допущения!$B$29</f>
        <v>113178.77973852</v>
      </c>
      <c r="AF26" s="27" t="n">
        <f aca="false">AF16*Допущения!$B$29</f>
        <v>116574.143130675</v>
      </c>
      <c r="AG26" s="27" t="n">
        <f aca="false">AG16*Допущения!$B$29</f>
        <v>120071.367424596</v>
      </c>
      <c r="AH26" s="27" t="n">
        <f aca="false">AH16*Допущения!$B$29</f>
        <v>123673.508447333</v>
      </c>
      <c r="AI26" s="27" t="n">
        <f aca="false">AI16*Допущения!$B$29</f>
        <v>127383.713700753</v>
      </c>
      <c r="AJ26" s="27" t="n">
        <f aca="false">AJ16*Допущения!$B$29</f>
        <v>131205.225111776</v>
      </c>
      <c r="AK26" s="27" t="n">
        <f aca="false">AK16*Допущения!$B$29</f>
        <v>135141.381865129</v>
      </c>
    </row>
    <row r="27" customFormat="false" ht="15" hidden="false" customHeight="false" outlineLevel="0" collapsed="false">
      <c r="A27" s="5" t="s">
        <v>22</v>
      </c>
      <c r="B27" s="27" t="n">
        <f aca="false">B17*Допущения!$B$30</f>
        <v>26820</v>
      </c>
      <c r="C27" s="27" t="n">
        <f aca="false">C17*Допущения!$B$30</f>
        <v>30843</v>
      </c>
      <c r="D27" s="27" t="n">
        <f aca="false">D17*Допущения!$B$30</f>
        <v>35469.45</v>
      </c>
      <c r="E27" s="27" t="n">
        <f aca="false">E17*Допущения!$B$30</f>
        <v>40789.8675</v>
      </c>
      <c r="F27" s="27" t="n">
        <f aca="false">F17*Допущения!$B$30</f>
        <v>46908.347625</v>
      </c>
      <c r="G27" s="27" t="n">
        <f aca="false">G17*Допущения!$B$30</f>
        <v>53944.59976875</v>
      </c>
      <c r="H27" s="27" t="n">
        <f aca="false">H17*Допущения!$B$30</f>
        <v>62036.2897340625</v>
      </c>
      <c r="I27" s="27" t="n">
        <f aca="false">I17*Допущения!$B$30</f>
        <v>71341.7331941718</v>
      </c>
      <c r="J27" s="27" t="n">
        <f aca="false">J17*Допущения!$B$30</f>
        <v>82042.9931732976</v>
      </c>
      <c r="K27" s="27" t="n">
        <f aca="false">K17*Допущения!$B$30</f>
        <v>94349.4421492922</v>
      </c>
      <c r="L27" s="27" t="n">
        <f aca="false">L17*Допущения!$B$30</f>
        <v>108501.858471686</v>
      </c>
      <c r="M27" s="27" t="n">
        <f aca="false">M17*Допущения!$B$30</f>
        <v>124777.137242439</v>
      </c>
      <c r="N27" s="27" t="n">
        <f aca="false">N17*Допущения!$B$30</f>
        <v>132263.765476985</v>
      </c>
      <c r="O27" s="27" t="n">
        <f aca="false">O17*Допущения!$B$30</f>
        <v>140199.591405604</v>
      </c>
      <c r="P27" s="27" t="n">
        <f aca="false">P17*Допущения!$B$30</f>
        <v>148611.566889941</v>
      </c>
      <c r="Q27" s="27" t="n">
        <f aca="false">Q17*Допущения!$B$30</f>
        <v>157528.260903337</v>
      </c>
      <c r="R27" s="27" t="n">
        <f aca="false">R17*Допущения!$B$30</f>
        <v>166979.956557537</v>
      </c>
      <c r="S27" s="27" t="n">
        <f aca="false">S17*Допущения!$B$30</f>
        <v>176998.75395099</v>
      </c>
      <c r="T27" s="27" t="n">
        <f aca="false">T17*Допущения!$B$30</f>
        <v>187618.679188049</v>
      </c>
      <c r="U27" s="27" t="n">
        <f aca="false">U17*Допущения!$B$30</f>
        <v>198875.799939332</v>
      </c>
      <c r="V27" s="27" t="n">
        <f aca="false">V17*Допущения!$B$30</f>
        <v>210808.347935692</v>
      </c>
      <c r="W27" s="27" t="n">
        <f aca="false">W17*Допущения!$B$30</f>
        <v>223456.848811833</v>
      </c>
      <c r="X27" s="27" t="n">
        <f aca="false">X17*Допущения!$B$30</f>
        <v>236864.259740543</v>
      </c>
      <c r="Y27" s="27" t="n">
        <f aca="false">Y17*Допущения!$B$30</f>
        <v>251076.115324976</v>
      </c>
      <c r="Z27" s="27" t="n">
        <f aca="false">Z17*Допущения!$B$30</f>
        <v>258608.398784725</v>
      </c>
      <c r="AA27" s="27" t="n">
        <f aca="false">AA17*Допущения!$B$30</f>
        <v>266366.650748267</v>
      </c>
      <c r="AB27" s="27" t="n">
        <f aca="false">AB17*Допущения!$B$30</f>
        <v>274357.650270715</v>
      </c>
      <c r="AC27" s="27" t="n">
        <f aca="false">AC17*Допущения!$B$30</f>
        <v>282588.379778837</v>
      </c>
      <c r="AD27" s="27" t="n">
        <f aca="false">AD17*Допущения!$B$30</f>
        <v>291066.031172202</v>
      </c>
      <c r="AE27" s="27" t="n">
        <f aca="false">AE17*Допущения!$B$30</f>
        <v>299798.012107368</v>
      </c>
      <c r="AF27" s="27" t="n">
        <f aca="false">AF17*Допущения!$B$30</f>
        <v>308791.952470589</v>
      </c>
      <c r="AG27" s="27" t="n">
        <f aca="false">AG17*Допущения!$B$30</f>
        <v>318055.711044706</v>
      </c>
      <c r="AH27" s="27" t="n">
        <f aca="false">AH17*Допущения!$B$30</f>
        <v>327597.382376048</v>
      </c>
      <c r="AI27" s="27" t="n">
        <f aca="false">AI17*Допущения!$B$30</f>
        <v>337425.303847329</v>
      </c>
      <c r="AJ27" s="27" t="n">
        <f aca="false">AJ17*Допущения!$B$30</f>
        <v>347548.062962749</v>
      </c>
      <c r="AK27" s="27" t="n">
        <f aca="false">AK17*Допущения!$B$30</f>
        <v>357974.504851632</v>
      </c>
    </row>
    <row r="28" customFormat="false" ht="15" hidden="false" customHeight="false" outlineLevel="0" collapsed="false">
      <c r="A28" s="5" t="s">
        <v>23</v>
      </c>
      <c r="B28" s="27" t="n">
        <f aca="false">B18*Допущения!$B$31</f>
        <v>22500</v>
      </c>
      <c r="C28" s="27" t="n">
        <f aca="false">C18*Допущения!$B$31</f>
        <v>25875</v>
      </c>
      <c r="D28" s="27" t="n">
        <f aca="false">D18*Допущения!$B$31</f>
        <v>29756.25</v>
      </c>
      <c r="E28" s="27" t="n">
        <f aca="false">E18*Допущения!$B$31</f>
        <v>34219.6875</v>
      </c>
      <c r="F28" s="27" t="n">
        <f aca="false">F18*Допущения!$B$31</f>
        <v>39352.640625</v>
      </c>
      <c r="G28" s="27" t="n">
        <f aca="false">G18*Допущения!$B$31</f>
        <v>45255.53671875</v>
      </c>
      <c r="H28" s="27" t="n">
        <f aca="false">H18*Допущения!$B$31</f>
        <v>52043.8672265625</v>
      </c>
      <c r="I28" s="27" t="n">
        <f aca="false">I18*Допущения!$B$31</f>
        <v>59850.4473105468</v>
      </c>
      <c r="J28" s="27" t="n">
        <f aca="false">J18*Допущения!$B$31</f>
        <v>68828.0144071289</v>
      </c>
      <c r="K28" s="27" t="n">
        <f aca="false">K18*Допущения!$B$31</f>
        <v>79152.2165681982</v>
      </c>
      <c r="L28" s="27" t="n">
        <f aca="false">L18*Допущения!$B$31</f>
        <v>91025.0490534279</v>
      </c>
      <c r="M28" s="27" t="n">
        <f aca="false">M18*Допущения!$B$31</f>
        <v>104678.806411442</v>
      </c>
      <c r="N28" s="27" t="n">
        <f aca="false">N18*Допущения!$B$31</f>
        <v>110959.534796129</v>
      </c>
      <c r="O28" s="27" t="n">
        <f aca="false">O18*Допущения!$B$31</f>
        <v>117617.106883896</v>
      </c>
      <c r="P28" s="27" t="n">
        <f aca="false">P18*Допущения!$B$31</f>
        <v>124674.13329693</v>
      </c>
      <c r="Q28" s="27" t="n">
        <f aca="false">Q18*Допущения!$B$31</f>
        <v>132154.581294746</v>
      </c>
      <c r="R28" s="27" t="n">
        <f aca="false">R18*Допущения!$B$31</f>
        <v>140083.856172431</v>
      </c>
      <c r="S28" s="27" t="n">
        <f aca="false">S18*Допущения!$B$31</f>
        <v>148488.887542777</v>
      </c>
      <c r="T28" s="27" t="n">
        <f aca="false">T18*Допущения!$B$31</f>
        <v>157398.220795343</v>
      </c>
      <c r="U28" s="27" t="n">
        <f aca="false">U18*Допущения!$B$31</f>
        <v>166842.114043064</v>
      </c>
      <c r="V28" s="27" t="n">
        <f aca="false">V18*Допущения!$B$31</f>
        <v>176852.640885648</v>
      </c>
      <c r="W28" s="27" t="n">
        <f aca="false">W18*Допущения!$B$31</f>
        <v>187463.799338786</v>
      </c>
      <c r="X28" s="27" t="n">
        <f aca="false">X18*Допущения!$B$31</f>
        <v>198711.627299114</v>
      </c>
      <c r="Y28" s="27" t="n">
        <f aca="false">Y18*Допущения!$B$31</f>
        <v>210634.32493706</v>
      </c>
      <c r="Z28" s="27" t="n">
        <f aca="false">Z18*Допущения!$B$31</f>
        <v>216953.354685172</v>
      </c>
      <c r="AA28" s="27" t="n">
        <f aca="false">AA18*Допущения!$B$31</f>
        <v>223461.955325727</v>
      </c>
      <c r="AB28" s="27" t="n">
        <f aca="false">AB18*Допущения!$B$31</f>
        <v>230165.813985499</v>
      </c>
      <c r="AC28" s="27" t="n">
        <f aca="false">AC18*Допущения!$B$31</f>
        <v>237070.788405064</v>
      </c>
      <c r="AD28" s="27" t="n">
        <f aca="false">AD18*Допущения!$B$31</f>
        <v>244182.912057216</v>
      </c>
      <c r="AE28" s="27" t="n">
        <f aca="false">AE18*Допущения!$B$31</f>
        <v>251508.399418933</v>
      </c>
      <c r="AF28" s="27" t="n">
        <f aca="false">AF18*Допущения!$B$31</f>
        <v>259053.651401501</v>
      </c>
      <c r="AG28" s="27" t="n">
        <f aca="false">AG18*Допущения!$B$31</f>
        <v>266825.260943546</v>
      </c>
      <c r="AH28" s="27" t="n">
        <f aca="false">AH18*Допущения!$B$31</f>
        <v>274830.018771852</v>
      </c>
      <c r="AI28" s="27" t="n">
        <f aca="false">AI18*Допущения!$B$31</f>
        <v>283074.919335008</v>
      </c>
      <c r="AJ28" s="27" t="n">
        <f aca="false">AJ18*Допущения!$B$31</f>
        <v>291567.166915058</v>
      </c>
      <c r="AK28" s="27" t="n">
        <f aca="false">AK18*Допущения!$B$31</f>
        <v>300314.18192251</v>
      </c>
    </row>
    <row r="29" customFormat="false" ht="15" hidden="false" customHeight="false" outlineLevel="0" collapsed="false">
      <c r="A29" s="5" t="s">
        <v>24</v>
      </c>
      <c r="B29" s="27" t="n">
        <f aca="false">B19*Допущения!$B$32*Допущения!$B$33</f>
        <v>94500</v>
      </c>
      <c r="C29" s="27" t="n">
        <f aca="false">C19*Допущения!$B$32*Допущения!$B$33</f>
        <v>108675</v>
      </c>
      <c r="D29" s="27" t="n">
        <f aca="false">D19*Допущения!$B$32*Допущения!$B$33</f>
        <v>124976.25</v>
      </c>
      <c r="E29" s="27" t="n">
        <f aca="false">E19*Допущения!$B$32*Допущения!$B$33</f>
        <v>143722.6875</v>
      </c>
      <c r="F29" s="27" t="n">
        <f aca="false">F19*Допущения!$B$32*Допущения!$B$33</f>
        <v>165281.090625</v>
      </c>
      <c r="G29" s="27" t="n">
        <f aca="false">G19*Допущения!$B$32*Допущения!$B$33</f>
        <v>190073.25421875</v>
      </c>
      <c r="H29" s="27" t="n">
        <f aca="false">H19*Допущения!$B$32*Допущения!$B$33</f>
        <v>218584.242351562</v>
      </c>
      <c r="I29" s="27" t="n">
        <f aca="false">I19*Допущения!$B$32*Допущения!$B$33</f>
        <v>251371.878704297</v>
      </c>
      <c r="J29" s="27" t="n">
        <f aca="false">J19*Допущения!$B$32*Допущения!$B$33</f>
        <v>289077.660509941</v>
      </c>
      <c r="K29" s="27" t="n">
        <f aca="false">K19*Допущения!$B$32*Допущения!$B$33</f>
        <v>332439.309586432</v>
      </c>
      <c r="L29" s="27" t="n">
        <f aca="false">L19*Допущения!$B$32*Допущения!$B$33</f>
        <v>382305.206024397</v>
      </c>
      <c r="M29" s="27" t="n">
        <f aca="false">M19*Допущения!$B$32*Допущения!$B$33</f>
        <v>439650.986928057</v>
      </c>
      <c r="N29" s="27" t="n">
        <f aca="false">N19*Допущения!$B$32*Допущения!$B$33</f>
        <v>466030.04614374</v>
      </c>
      <c r="O29" s="27" t="n">
        <f aca="false">O19*Допущения!$B$32*Допущения!$B$33</f>
        <v>493991.848912365</v>
      </c>
      <c r="P29" s="27" t="n">
        <f aca="false">P19*Допущения!$B$32*Допущения!$B$33</f>
        <v>523631.359847106</v>
      </c>
      <c r="Q29" s="27" t="n">
        <f aca="false">Q19*Допущения!$B$32*Допущения!$B$33</f>
        <v>555049.241437933</v>
      </c>
      <c r="R29" s="27" t="n">
        <f aca="false">R19*Допущения!$B$32*Допущения!$B$33</f>
        <v>588352.195924209</v>
      </c>
      <c r="S29" s="27" t="n">
        <f aca="false">S19*Допущения!$B$32*Допущения!$B$33</f>
        <v>623653.327679662</v>
      </c>
      <c r="T29" s="27" t="n">
        <f aca="false">T19*Допущения!$B$32*Допущения!$B$33</f>
        <v>661072.527340441</v>
      </c>
      <c r="U29" s="27" t="n">
        <f aca="false">U19*Допущения!$B$32*Допущения!$B$33</f>
        <v>700736.878980868</v>
      </c>
      <c r="V29" s="27" t="n">
        <f aca="false">V19*Допущения!$B$32*Допущения!$B$33</f>
        <v>742781.09171972</v>
      </c>
      <c r="W29" s="27" t="n">
        <f aca="false">W19*Допущения!$B$32*Допущения!$B$33</f>
        <v>787347.957222903</v>
      </c>
      <c r="X29" s="27" t="n">
        <f aca="false">X19*Допущения!$B$32*Допущения!$B$33</f>
        <v>834588.834656277</v>
      </c>
      <c r="Y29" s="27" t="n">
        <f aca="false">Y19*Допущения!$B$32*Допущения!$B$33</f>
        <v>884664.164735654</v>
      </c>
      <c r="Z29" s="27" t="n">
        <f aca="false">Z19*Допущения!$B$32*Допущения!$B$33</f>
        <v>911204.089677724</v>
      </c>
      <c r="AA29" s="27" t="n">
        <f aca="false">AA19*Допущения!$B$32*Допущения!$B$33</f>
        <v>938540.212368055</v>
      </c>
      <c r="AB29" s="27" t="n">
        <f aca="false">AB19*Допущения!$B$32*Допущения!$B$33</f>
        <v>966696.418739097</v>
      </c>
      <c r="AC29" s="27" t="n">
        <f aca="false">AC19*Допущения!$B$32*Допущения!$B$33</f>
        <v>995697.31130127</v>
      </c>
      <c r="AD29" s="27" t="n">
        <f aca="false">AD19*Допущения!$B$32*Допущения!$B$33</f>
        <v>1025568.23064031</v>
      </c>
      <c r="AE29" s="27" t="n">
        <f aca="false">AE19*Допущения!$B$32*Допущения!$B$33</f>
        <v>1056335.27755952</v>
      </c>
      <c r="AF29" s="27" t="n">
        <f aca="false">AF19*Допущения!$B$32*Допущения!$B$33</f>
        <v>1088025.3358863</v>
      </c>
      <c r="AG29" s="27" t="n">
        <f aca="false">AG19*Допущения!$B$32*Допущения!$B$33</f>
        <v>1120666.09596289</v>
      </c>
      <c r="AH29" s="27" t="n">
        <f aca="false">AH19*Допущения!$B$32*Допущения!$B$33</f>
        <v>1154286.07884178</v>
      </c>
      <c r="AI29" s="27" t="n">
        <f aca="false">AI19*Допущения!$B$32*Допущения!$B$33</f>
        <v>1188914.66120703</v>
      </c>
      <c r="AJ29" s="27" t="n">
        <f aca="false">AJ19*Допущения!$B$32*Допущения!$B$33</f>
        <v>1224582.10104324</v>
      </c>
      <c r="AK29" s="27" t="n">
        <f aca="false">AK19*Допущения!$B$32*Допущения!$B$33</f>
        <v>1261319.56407454</v>
      </c>
    </row>
    <row r="30" customFormat="false" ht="15" hidden="false" customHeight="false" outlineLevel="0" collapsed="false">
      <c r="A30" s="10" t="s">
        <v>25</v>
      </c>
      <c r="B30" s="12" t="n">
        <f aca="false">SUM(B21:B29)</f>
        <v>221715</v>
      </c>
      <c r="C30" s="12" t="n">
        <f aca="false">SUM(C21:C29)</f>
        <v>254972.25</v>
      </c>
      <c r="D30" s="12" t="n">
        <f aca="false">SUM(D21:D29)</f>
        <v>293218.0875</v>
      </c>
      <c r="E30" s="12" t="n">
        <f aca="false">SUM(E21:E29)</f>
        <v>337200.800625</v>
      </c>
      <c r="F30" s="12" t="n">
        <f aca="false">SUM(F21:F29)</f>
        <v>387780.92071875</v>
      </c>
      <c r="G30" s="12" t="n">
        <f aca="false">SUM(G21:G29)</f>
        <v>445948.058826562</v>
      </c>
      <c r="H30" s="12" t="n">
        <f aca="false">SUM(H21:H29)</f>
        <v>512840.267650547</v>
      </c>
      <c r="I30" s="12" t="n">
        <f aca="false">SUM(I21:I29)</f>
        <v>589766.307798129</v>
      </c>
      <c r="J30" s="12" t="n">
        <f aca="false">SUM(J21:J29)</f>
        <v>678231.253967848</v>
      </c>
      <c r="K30" s="12" t="n">
        <f aca="false">SUM(K21:K29)</f>
        <v>779965.942063025</v>
      </c>
      <c r="L30" s="12" t="n">
        <f aca="false">SUM(L21:L29)</f>
        <v>896960.833372479</v>
      </c>
      <c r="M30" s="12" t="n">
        <f aca="false">SUM(M21:M29)</f>
        <v>1031504.95837835</v>
      </c>
      <c r="N30" s="12" t="n">
        <f aca="false">SUM(N21:N29)</f>
        <v>1093395.25588105</v>
      </c>
      <c r="O30" s="12" t="n">
        <f aca="false">SUM(O21:O29)</f>
        <v>1158998.97123391</v>
      </c>
      <c r="P30" s="12" t="n">
        <f aca="false">SUM(P21:P29)</f>
        <v>1228538.90950795</v>
      </c>
      <c r="Q30" s="12" t="n">
        <f aca="false">SUM(Q21:Q29)</f>
        <v>1302251.24407843</v>
      </c>
      <c r="R30" s="12" t="n">
        <f aca="false">SUM(R21:R29)</f>
        <v>1380386.31872313</v>
      </c>
      <c r="S30" s="12" t="n">
        <f aca="false">SUM(S21:S29)</f>
        <v>1463209.49784652</v>
      </c>
      <c r="T30" s="12" t="n">
        <f aca="false">SUM(T21:T29)</f>
        <v>1551002.06771731</v>
      </c>
      <c r="U30" s="12" t="n">
        <f aca="false">SUM(U21:U29)</f>
        <v>1644062.19178035</v>
      </c>
      <c r="V30" s="12" t="n">
        <f aca="false">SUM(V21:V29)</f>
        <v>1742705.92328717</v>
      </c>
      <c r="W30" s="12" t="n">
        <f aca="false">SUM(W21:W29)</f>
        <v>1847268.2786844</v>
      </c>
      <c r="X30" s="12" t="n">
        <f aca="false">SUM(X21:X29)</f>
        <v>1958104.37540547</v>
      </c>
      <c r="Y30" s="12" t="n">
        <f aca="false">SUM(Y21:Y29)</f>
        <v>2075590.63792979</v>
      </c>
      <c r="Z30" s="12" t="n">
        <f aca="false">SUM(Z21:Z29)</f>
        <v>2137858.35706769</v>
      </c>
      <c r="AA30" s="12" t="n">
        <f aca="false">SUM(AA21:AA29)</f>
        <v>2201994.10777972</v>
      </c>
      <c r="AB30" s="12" t="n">
        <f aca="false">SUM(AB21:AB29)</f>
        <v>2268053.93101311</v>
      </c>
      <c r="AC30" s="12" t="n">
        <f aca="false">SUM(AC21:AC29)</f>
        <v>2336095.5489435</v>
      </c>
      <c r="AD30" s="12" t="n">
        <f aca="false">SUM(AD21:AD29)</f>
        <v>2406178.41541181</v>
      </c>
      <c r="AE30" s="12" t="n">
        <f aca="false">SUM(AE21:AE29)</f>
        <v>2478363.76787416</v>
      </c>
      <c r="AF30" s="12" t="n">
        <f aca="false">SUM(AF21:AF29)</f>
        <v>2552714.68091039</v>
      </c>
      <c r="AG30" s="12" t="n">
        <f aca="false">SUM(AG21:AG29)</f>
        <v>2629296.1213377</v>
      </c>
      <c r="AH30" s="12" t="n">
        <f aca="false">SUM(AH21:AH29)</f>
        <v>2708175.00497783</v>
      </c>
      <c r="AI30" s="12" t="n">
        <f aca="false">SUM(AI21:AI29)</f>
        <v>2789420.25512717</v>
      </c>
      <c r="AJ30" s="12" t="n">
        <f aca="false">SUM(AJ21:AJ29)</f>
        <v>2873102.86278098</v>
      </c>
      <c r="AK30" s="12" t="n">
        <f aca="false">SUM(AK21:AK29)</f>
        <v>2959295.94866441</v>
      </c>
    </row>
    <row r="31" customFormat="false" ht="15" hidden="false" customHeight="false" outlineLevel="0" collapsed="false">
      <c r="A31" s="8" t="s">
        <v>145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Format="false" ht="15" hidden="false" customHeight="false" outlineLevel="0" collapsed="false">
      <c r="A32" s="5" t="s">
        <v>27</v>
      </c>
      <c r="B32" s="27" t="n">
        <f aca="false">B23*Допущения!$B$35*IF(B4=1,1,0.4)+B24*Допущения!$B$36</f>
        <v>26325</v>
      </c>
      <c r="C32" s="27" t="n">
        <f aca="false">C23*Допущения!$B$35*IF(C4=1,1,0.4)+C24*Допущения!$B$36</f>
        <v>30273.75</v>
      </c>
      <c r="D32" s="27" t="n">
        <f aca="false">D23*Допущения!$B$35*IF(D4=1,1,0.4)+D24*Допущения!$B$36</f>
        <v>34814.8125</v>
      </c>
      <c r="E32" s="27" t="n">
        <f aca="false">E23*Допущения!$B$35*IF(E4=1,1,0.4)+E24*Допущения!$B$36</f>
        <v>40037.034375</v>
      </c>
      <c r="F32" s="27" t="n">
        <f aca="false">F23*Допущения!$B$35*IF(F4=1,1,0.4)+F24*Допущения!$B$36</f>
        <v>46042.58953125</v>
      </c>
      <c r="G32" s="27" t="n">
        <f aca="false">G23*Допущения!$B$35*IF(G4=1,1,0.4)+G24*Допущения!$B$36</f>
        <v>52948.9779609375</v>
      </c>
      <c r="H32" s="27" t="n">
        <f aca="false">H23*Допущения!$B$35*IF(H4=1,1,0.4)+H24*Допущения!$B$36</f>
        <v>60891.3246550781</v>
      </c>
      <c r="I32" s="27" t="n">
        <f aca="false">I23*Допущения!$B$35*IF(I4=1,1,0.4)+I24*Допущения!$B$36</f>
        <v>70025.0233533398</v>
      </c>
      <c r="J32" s="27" t="n">
        <f aca="false">J23*Допущения!$B$35*IF(J4=1,1,0.4)+J24*Допущения!$B$36</f>
        <v>80528.7768563408</v>
      </c>
      <c r="K32" s="27" t="n">
        <f aca="false">K23*Допущения!$B$35*IF(K4=1,1,0.4)+K24*Допущения!$B$36</f>
        <v>92608.0933847919</v>
      </c>
      <c r="L32" s="27" t="n">
        <f aca="false">L23*Допущения!$B$35*IF(L4=1,1,0.4)+L24*Допущения!$B$36</f>
        <v>106499.307392511</v>
      </c>
      <c r="M32" s="27" t="n">
        <f aca="false">M23*Допущения!$B$35*IF(M4=1,1,0.4)+M24*Допущения!$B$36</f>
        <v>122474.203501387</v>
      </c>
      <c r="N32" s="27" t="n">
        <f aca="false">N23*Допущения!$B$35*IF(N4=1,1,0.4)+N24*Допущения!$B$36</f>
        <v>99863.5813165158</v>
      </c>
      <c r="O32" s="27" t="n">
        <f aca="false">O23*Допущения!$B$35*IF(O4=1,1,0.4)+O24*Допущения!$B$36</f>
        <v>105855.396195507</v>
      </c>
      <c r="P32" s="27" t="n">
        <f aca="false">P23*Допущения!$B$35*IF(P4=1,1,0.4)+P24*Допущения!$B$36</f>
        <v>112206.719967237</v>
      </c>
      <c r="Q32" s="27" t="n">
        <f aca="false">Q23*Допущения!$B$35*IF(Q4=1,1,0.4)+Q24*Допущения!$B$36</f>
        <v>118939.123165271</v>
      </c>
      <c r="R32" s="27" t="n">
        <f aca="false">R23*Допущения!$B$35*IF(R4=1,1,0.4)+R24*Допущения!$B$36</f>
        <v>126075.470555188</v>
      </c>
      <c r="S32" s="27" t="n">
        <f aca="false">S23*Допущения!$B$35*IF(S4=1,1,0.4)+S24*Допущения!$B$36</f>
        <v>133639.998788499</v>
      </c>
      <c r="T32" s="27" t="n">
        <f aca="false">T23*Допущения!$B$35*IF(T4=1,1,0.4)+T24*Допущения!$B$36</f>
        <v>141658.398715809</v>
      </c>
      <c r="U32" s="27" t="n">
        <f aca="false">U23*Допущения!$B$35*IF(U4=1,1,0.4)+U24*Допущения!$B$36</f>
        <v>150157.902638757</v>
      </c>
      <c r="V32" s="27" t="n">
        <f aca="false">V23*Допущения!$B$35*IF(V4=1,1,0.4)+V24*Допущения!$B$36</f>
        <v>159167.376797083</v>
      </c>
      <c r="W32" s="27" t="n">
        <f aca="false">W23*Допущения!$B$35*IF(W4=1,1,0.4)+W24*Допущения!$B$36</f>
        <v>168717.419404908</v>
      </c>
      <c r="X32" s="27" t="n">
        <f aca="false">X23*Допущения!$B$35*IF(X4=1,1,0.4)+X24*Допущения!$B$36</f>
        <v>178840.464569202</v>
      </c>
      <c r="Y32" s="27" t="n">
        <f aca="false">Y23*Допущения!$B$35*IF(Y4=1,1,0.4)+Y24*Допущения!$B$36</f>
        <v>189570.892443354</v>
      </c>
      <c r="Z32" s="27" t="n">
        <f aca="false">Z23*Допущения!$B$35*IF(Z4=1,1,0.4)+Z24*Допущения!$B$36</f>
        <v>195258.019216655</v>
      </c>
      <c r="AA32" s="27" t="n">
        <f aca="false">AA23*Допущения!$B$35*IF(AA4=1,1,0.4)+AA24*Допущения!$B$36</f>
        <v>201115.759793155</v>
      </c>
      <c r="AB32" s="27" t="n">
        <f aca="false">AB23*Допущения!$B$35*IF(AB4=1,1,0.4)+AB24*Допущения!$B$36</f>
        <v>207149.232586949</v>
      </c>
      <c r="AC32" s="27" t="n">
        <f aca="false">AC23*Допущения!$B$35*IF(AC4=1,1,0.4)+AC24*Допущения!$B$36</f>
        <v>213363.709564558</v>
      </c>
      <c r="AD32" s="27" t="n">
        <f aca="false">AD23*Допущения!$B$35*IF(AD4=1,1,0.4)+AD24*Допущения!$B$36</f>
        <v>219764.620851495</v>
      </c>
      <c r="AE32" s="27" t="n">
        <f aca="false">AE23*Допущения!$B$35*IF(AE4=1,1,0.4)+AE24*Допущения!$B$36</f>
        <v>226357.559477039</v>
      </c>
      <c r="AF32" s="27" t="n">
        <f aca="false">AF23*Допущения!$B$35*IF(AF4=1,1,0.4)+AF24*Допущения!$B$36</f>
        <v>233148.286261351</v>
      </c>
      <c r="AG32" s="27" t="n">
        <f aca="false">AG23*Допущения!$B$35*IF(AG4=1,1,0.4)+AG24*Допущения!$B$36</f>
        <v>240142.734849191</v>
      </c>
      <c r="AH32" s="27" t="n">
        <f aca="false">AH23*Допущения!$B$35*IF(AH4=1,1,0.4)+AH24*Допущения!$B$36</f>
        <v>247347.016894667</v>
      </c>
      <c r="AI32" s="27" t="n">
        <f aca="false">AI23*Допущения!$B$35*IF(AI4=1,1,0.4)+AI24*Допущения!$B$36</f>
        <v>254767.427401507</v>
      </c>
      <c r="AJ32" s="27" t="n">
        <f aca="false">AJ23*Допущения!$B$35*IF(AJ4=1,1,0.4)+AJ24*Допущения!$B$36</f>
        <v>262410.450223552</v>
      </c>
      <c r="AK32" s="27" t="n">
        <f aca="false">AK23*Допущения!$B$35*IF(AK4=1,1,0.4)+AK24*Допущения!$B$36</f>
        <v>270282.763730259</v>
      </c>
    </row>
    <row r="33" customFormat="false" ht="15" hidden="false" customHeight="false" outlineLevel="0" collapsed="false">
      <c r="A33" s="5" t="s">
        <v>28</v>
      </c>
      <c r="B33" s="27" t="n">
        <f aca="false">B15*Допущения!$B$37</f>
        <v>216</v>
      </c>
      <c r="C33" s="27" t="n">
        <f aca="false">C15*Допущения!$B$37</f>
        <v>248.4</v>
      </c>
      <c r="D33" s="27" t="n">
        <f aca="false">D15*Допущения!$B$37</f>
        <v>285.66</v>
      </c>
      <c r="E33" s="27" t="n">
        <f aca="false">E15*Допущения!$B$37</f>
        <v>328.509</v>
      </c>
      <c r="F33" s="27" t="n">
        <f aca="false">F15*Допущения!$B$37</f>
        <v>377.78535</v>
      </c>
      <c r="G33" s="27" t="n">
        <f aca="false">G15*Допущения!$B$37</f>
        <v>434.4531525</v>
      </c>
      <c r="H33" s="27" t="n">
        <f aca="false">H15*Допущения!$B$37</f>
        <v>499.621125375</v>
      </c>
      <c r="I33" s="27" t="n">
        <f aca="false">I15*Допущения!$B$37</f>
        <v>574.56429418125</v>
      </c>
      <c r="J33" s="27" t="n">
        <f aca="false">J15*Допущения!$B$37</f>
        <v>660.748938308437</v>
      </c>
      <c r="K33" s="27" t="n">
        <f aca="false">K15*Допущения!$B$37</f>
        <v>759.861279054703</v>
      </c>
      <c r="L33" s="27" t="n">
        <f aca="false">L15*Допущения!$B$37</f>
        <v>873.840470912908</v>
      </c>
      <c r="M33" s="27" t="n">
        <f aca="false">M15*Допущения!$B$37</f>
        <v>1004.91654154984</v>
      </c>
      <c r="N33" s="27" t="n">
        <f aca="false">N15*Допущения!$B$37</f>
        <v>1065.21153404283</v>
      </c>
      <c r="O33" s="27" t="n">
        <f aca="false">O15*Допущения!$B$37</f>
        <v>1129.1242260854</v>
      </c>
      <c r="P33" s="27" t="n">
        <f aca="false">P15*Допущения!$B$37</f>
        <v>1196.87167965053</v>
      </c>
      <c r="Q33" s="27" t="n">
        <f aca="false">Q15*Допущения!$B$37</f>
        <v>1268.68398042956</v>
      </c>
      <c r="R33" s="27" t="n">
        <f aca="false">R15*Допущения!$B$37</f>
        <v>1344.80501925533</v>
      </c>
      <c r="S33" s="27" t="n">
        <f aca="false">S15*Допущения!$B$37</f>
        <v>1425.49332041065</v>
      </c>
      <c r="T33" s="27" t="n">
        <f aca="false">T15*Допущения!$B$37</f>
        <v>1511.02291963529</v>
      </c>
      <c r="U33" s="27" t="n">
        <f aca="false">U15*Допущения!$B$37</f>
        <v>1601.68429481341</v>
      </c>
      <c r="V33" s="27" t="n">
        <f aca="false">V15*Допущения!$B$37</f>
        <v>1697.78535250222</v>
      </c>
      <c r="W33" s="27" t="n">
        <f aca="false">W15*Допущения!$B$37</f>
        <v>1799.65247365235</v>
      </c>
      <c r="X33" s="27" t="n">
        <f aca="false">X15*Допущения!$B$37</f>
        <v>1907.63162207149</v>
      </c>
      <c r="Y33" s="27" t="n">
        <f aca="false">Y15*Допущения!$B$37</f>
        <v>2022.08951939578</v>
      </c>
      <c r="Z33" s="27" t="n">
        <f aca="false">Z15*Допущения!$B$37</f>
        <v>2082.75220497765</v>
      </c>
      <c r="AA33" s="27" t="n">
        <f aca="false">AA15*Допущения!$B$37</f>
        <v>2145.23477112698</v>
      </c>
      <c r="AB33" s="27" t="n">
        <f aca="false">AB15*Допущения!$B$37</f>
        <v>2209.59181426079</v>
      </c>
      <c r="AC33" s="27" t="n">
        <f aca="false">AC15*Допущения!$B$37</f>
        <v>2275.87956868862</v>
      </c>
      <c r="AD33" s="27" t="n">
        <f aca="false">AD15*Допущения!$B$37</f>
        <v>2344.15595574928</v>
      </c>
      <c r="AE33" s="27" t="n">
        <f aca="false">AE15*Допущения!$B$37</f>
        <v>2414.48063442175</v>
      </c>
      <c r="AF33" s="27" t="n">
        <f aca="false">AF15*Допущения!$B$37</f>
        <v>2486.91505345441</v>
      </c>
      <c r="AG33" s="27" t="n">
        <f aca="false">AG15*Допущения!$B$37</f>
        <v>2561.52250505804</v>
      </c>
      <c r="AH33" s="27" t="n">
        <f aca="false">AH15*Допущения!$B$37</f>
        <v>2638.36818020978</v>
      </c>
      <c r="AI33" s="27" t="n">
        <f aca="false">AI15*Допущения!$B$37</f>
        <v>2717.51922561607</v>
      </c>
      <c r="AJ33" s="27" t="n">
        <f aca="false">AJ15*Допущения!$B$37</f>
        <v>2799.04480238456</v>
      </c>
      <c r="AK33" s="27" t="n">
        <f aca="false">AK15*Допущения!$B$37</f>
        <v>2883.01614645609</v>
      </c>
    </row>
    <row r="34" customFormat="false" ht="15" hidden="false" customHeight="false" outlineLevel="0" collapsed="false">
      <c r="A34" s="5" t="s">
        <v>29</v>
      </c>
      <c r="B34" s="27" t="n">
        <f aca="false">SUM(B21:B27)*Допущения!$B$38</f>
        <v>3141.45</v>
      </c>
      <c r="C34" s="27" t="n">
        <f aca="false">SUM(C21:C27)*Допущения!$B$38</f>
        <v>3612.6675</v>
      </c>
      <c r="D34" s="27" t="n">
        <f aca="false">SUM(D21:D27)*Допущения!$B$38</f>
        <v>4154.567625</v>
      </c>
      <c r="E34" s="27" t="n">
        <f aca="false">SUM(E21:E27)*Допущения!$B$38</f>
        <v>4777.75276875</v>
      </c>
      <c r="F34" s="27" t="n">
        <f aca="false">SUM(F21:F27)*Допущения!$B$38</f>
        <v>5494.4156840625</v>
      </c>
      <c r="G34" s="27" t="n">
        <f aca="false">SUM(G21:G27)*Допущения!$B$38</f>
        <v>6318.57803667187</v>
      </c>
      <c r="H34" s="27" t="n">
        <f aca="false">SUM(H21:H27)*Допущения!$B$38</f>
        <v>7266.36474217265</v>
      </c>
      <c r="I34" s="27" t="n">
        <f aca="false">SUM(I21:I27)*Допущения!$B$38</f>
        <v>8356.31945349855</v>
      </c>
      <c r="J34" s="27" t="n">
        <f aca="false">SUM(J21:J27)*Допущения!$B$38</f>
        <v>9609.76737152333</v>
      </c>
      <c r="K34" s="27" t="n">
        <f aca="false">SUM(K21:K27)*Допущения!$B$38</f>
        <v>11051.2324772518</v>
      </c>
      <c r="L34" s="27" t="n">
        <f aca="false">SUM(L21:L27)*Допущения!$B$38</f>
        <v>12708.9173488396</v>
      </c>
      <c r="M34" s="27" t="n">
        <f aca="false">SUM(M21:M27)*Допущения!$B$38</f>
        <v>14615.2549511655</v>
      </c>
      <c r="N34" s="27" t="n">
        <f aca="false">SUM(N21:N27)*Допущения!$B$38</f>
        <v>15492.1702482355</v>
      </c>
      <c r="O34" s="27" t="n">
        <f aca="false">SUM(O21:O27)*Допущения!$B$38</f>
        <v>16421.7004631296</v>
      </c>
      <c r="P34" s="27" t="n">
        <f aca="false">SUM(P21:P27)*Допущения!$B$38</f>
        <v>17407.0024909174</v>
      </c>
      <c r="Q34" s="27" t="n">
        <f aca="false">SUM(Q21:Q27)*Допущения!$B$38</f>
        <v>18451.4226403724</v>
      </c>
      <c r="R34" s="27" t="n">
        <f aca="false">SUM(R21:R27)*Допущения!$B$38</f>
        <v>19558.5079987948</v>
      </c>
      <c r="S34" s="27" t="n">
        <f aca="false">SUM(S21:S27)*Допущения!$B$38</f>
        <v>20732.0184787225</v>
      </c>
      <c r="T34" s="27" t="n">
        <f aca="false">SUM(T21:T27)*Допущения!$B$38</f>
        <v>21975.9395874458</v>
      </c>
      <c r="U34" s="27" t="n">
        <f aca="false">SUM(U21:U27)*Допущения!$B$38</f>
        <v>23294.4959626926</v>
      </c>
      <c r="V34" s="27" t="n">
        <f aca="false">SUM(V21:V27)*Допущения!$B$38</f>
        <v>24692.1657204541</v>
      </c>
      <c r="W34" s="27" t="n">
        <f aca="false">SUM(W21:W27)*Допущения!$B$38</f>
        <v>26173.6956636814</v>
      </c>
      <c r="X34" s="27" t="n">
        <f aca="false">SUM(X21:X27)*Допущения!$B$38</f>
        <v>27744.1174035022</v>
      </c>
      <c r="Y34" s="27" t="n">
        <f aca="false">SUM(Y21:Y27)*Допущения!$B$38</f>
        <v>29408.7644477124</v>
      </c>
      <c r="Z34" s="27" t="n">
        <f aca="false">SUM(Z21:Z27)*Допущения!$B$38</f>
        <v>30291.0273811438</v>
      </c>
      <c r="AA34" s="27" t="n">
        <f aca="false">SUM(AA21:AA27)*Допущения!$B$38</f>
        <v>31199.7582025781</v>
      </c>
      <c r="AB34" s="27" t="n">
        <f aca="false">SUM(AB21:AB27)*Допущения!$B$38</f>
        <v>32135.7509486554</v>
      </c>
      <c r="AC34" s="27" t="n">
        <f aca="false">SUM(AC21:AC27)*Допущения!$B$38</f>
        <v>33099.8234771151</v>
      </c>
      <c r="AD34" s="27" t="n">
        <f aca="false">SUM(AD21:AD27)*Допущения!$B$38</f>
        <v>34092.8181814285</v>
      </c>
      <c r="AE34" s="27" t="n">
        <f aca="false">SUM(AE21:AE27)*Допущения!$B$38</f>
        <v>35115.6027268714</v>
      </c>
      <c r="AF34" s="27" t="n">
        <f aca="false">SUM(AF21:AF27)*Допущения!$B$38</f>
        <v>36169.0708086775</v>
      </c>
      <c r="AG34" s="27" t="n">
        <f aca="false">SUM(AG21:AG27)*Допущения!$B$38</f>
        <v>37254.1429329379</v>
      </c>
      <c r="AH34" s="27" t="n">
        <f aca="false">SUM(AH21:AH27)*Допущения!$B$38</f>
        <v>38371.767220926</v>
      </c>
      <c r="AI34" s="27" t="n">
        <f aca="false">SUM(AI21:AI27)*Допущения!$B$38</f>
        <v>39522.9202375538</v>
      </c>
      <c r="AJ34" s="27" t="n">
        <f aca="false">SUM(AJ21:AJ27)*Допущения!$B$38</f>
        <v>40708.6078446804</v>
      </c>
      <c r="AK34" s="27" t="n">
        <f aca="false">SUM(AK21:AK27)*Допущения!$B$38</f>
        <v>41929.8660800208</v>
      </c>
    </row>
    <row r="35" customFormat="false" ht="15" hidden="false" customHeight="false" outlineLevel="0" collapsed="false">
      <c r="A35" s="5" t="s">
        <v>146</v>
      </c>
      <c r="B35" s="27" t="n">
        <f aca="false">B30*Допущения!$B$39</f>
        <v>13302.9</v>
      </c>
      <c r="C35" s="27" t="n">
        <f aca="false">C30*Допущения!$B$39</f>
        <v>15298.335</v>
      </c>
      <c r="D35" s="27" t="n">
        <f aca="false">D30*Допущения!$B$39</f>
        <v>17593.08525</v>
      </c>
      <c r="E35" s="27" t="n">
        <f aca="false">E30*Допущения!$B$39</f>
        <v>20232.0480375</v>
      </c>
      <c r="F35" s="27" t="n">
        <f aca="false">F30*Допущения!$B$39</f>
        <v>23266.855243125</v>
      </c>
      <c r="G35" s="27" t="n">
        <f aca="false">G30*Допущения!$B$39</f>
        <v>26756.8835295937</v>
      </c>
      <c r="H35" s="27" t="n">
        <f aca="false">H30*Допущения!$B$39</f>
        <v>30770.4160590328</v>
      </c>
      <c r="I35" s="27" t="n">
        <f aca="false">I30*Допущения!$B$39</f>
        <v>35385.9784678877</v>
      </c>
      <c r="J35" s="27" t="n">
        <f aca="false">J30*Допущения!$B$39</f>
        <v>40693.8752380709</v>
      </c>
      <c r="K35" s="27" t="n">
        <f aca="false">K30*Допущения!$B$39</f>
        <v>46797.9565237815</v>
      </c>
      <c r="L35" s="27" t="n">
        <f aca="false">L30*Допущения!$B$39</f>
        <v>53817.6500023487</v>
      </c>
      <c r="M35" s="27" t="n">
        <f aca="false">M30*Допущения!$B$39</f>
        <v>61890.297502701</v>
      </c>
      <c r="N35" s="27" t="n">
        <f aca="false">N30*Допущения!$B$39</f>
        <v>65603.7153528631</v>
      </c>
      <c r="O35" s="27" t="n">
        <f aca="false">O30*Допущения!$B$39</f>
        <v>69539.9382740349</v>
      </c>
      <c r="P35" s="27" t="n">
        <f aca="false">P30*Допущения!$B$39</f>
        <v>73712.334570477</v>
      </c>
      <c r="Q35" s="27" t="n">
        <f aca="false">Q30*Допущения!$B$39</f>
        <v>78135.0746447056</v>
      </c>
      <c r="R35" s="27" t="n">
        <f aca="false">R30*Допущения!$B$39</f>
        <v>82823.1791233879</v>
      </c>
      <c r="S35" s="27" t="n">
        <f aca="false">S30*Допущения!$B$39</f>
        <v>87792.5698707912</v>
      </c>
      <c r="T35" s="27" t="n">
        <f aca="false">T30*Допущения!$B$39</f>
        <v>93060.1240630387</v>
      </c>
      <c r="U35" s="27" t="n">
        <f aca="false">U30*Допущения!$B$39</f>
        <v>98643.731506821</v>
      </c>
      <c r="V35" s="27" t="n">
        <f aca="false">V30*Допущения!$B$39</f>
        <v>104562.35539723</v>
      </c>
      <c r="W35" s="27" t="n">
        <f aca="false">W30*Допущения!$B$39</f>
        <v>110836.096721064</v>
      </c>
      <c r="X35" s="27" t="n">
        <f aca="false">X30*Допущения!$B$39</f>
        <v>117486.262524328</v>
      </c>
      <c r="Y35" s="27" t="n">
        <f aca="false">Y30*Допущения!$B$39</f>
        <v>124535.438275788</v>
      </c>
      <c r="Z35" s="27" t="n">
        <f aca="false">Z30*Допущения!$B$39</f>
        <v>128271.501424061</v>
      </c>
      <c r="AA35" s="27" t="n">
        <f aca="false">AA30*Допущения!$B$39</f>
        <v>132119.646466783</v>
      </c>
      <c r="AB35" s="27" t="n">
        <f aca="false">AB30*Допущения!$B$39</f>
        <v>136083.235860787</v>
      </c>
      <c r="AC35" s="27" t="n">
        <f aca="false">AC30*Допущения!$B$39</f>
        <v>140165.73293661</v>
      </c>
      <c r="AD35" s="27" t="n">
        <f aca="false">AD30*Допущения!$B$39</f>
        <v>144370.704924709</v>
      </c>
      <c r="AE35" s="27" t="n">
        <f aca="false">AE30*Допущения!$B$39</f>
        <v>148701.82607245</v>
      </c>
      <c r="AF35" s="27" t="n">
        <f aca="false">AF30*Допущения!$B$39</f>
        <v>153162.880854623</v>
      </c>
      <c r="AG35" s="27" t="n">
        <f aca="false">AG30*Допущения!$B$39</f>
        <v>157757.767280262</v>
      </c>
      <c r="AH35" s="27" t="n">
        <f aca="false">AH30*Допущения!$B$39</f>
        <v>162490.50029867</v>
      </c>
      <c r="AI35" s="27" t="n">
        <f aca="false">AI30*Допущения!$B$39</f>
        <v>167365.21530763</v>
      </c>
      <c r="AJ35" s="27" t="n">
        <f aca="false">AJ30*Допущения!$B$39</f>
        <v>172386.171766859</v>
      </c>
      <c r="AK35" s="27" t="n">
        <f aca="false">AK30*Допущения!$B$39</f>
        <v>177557.756919865</v>
      </c>
    </row>
    <row r="36" customFormat="false" ht="15" hidden="false" customHeight="false" outlineLevel="0" collapsed="false">
      <c r="A36" s="5" t="s">
        <v>31</v>
      </c>
      <c r="B36" s="27" t="n">
        <f aca="false">CHOOSE(B4,Штат!$C$11,Штат!$D$11,Штат!$E$11)</f>
        <v>299000</v>
      </c>
      <c r="C36" s="27" t="n">
        <f aca="false">CHOOSE(C4,Штат!$C$11,Штат!$D$11,Штат!$E$11)</f>
        <v>299000</v>
      </c>
      <c r="D36" s="27" t="n">
        <f aca="false">CHOOSE(D4,Штат!$C$11,Штат!$D$11,Штат!$E$11)</f>
        <v>299000</v>
      </c>
      <c r="E36" s="27" t="n">
        <f aca="false">CHOOSE(E4,Штат!$C$11,Штат!$D$11,Штат!$E$11)</f>
        <v>299000</v>
      </c>
      <c r="F36" s="27" t="n">
        <f aca="false">CHOOSE(F4,Штат!$C$11,Штат!$D$11,Штат!$E$11)</f>
        <v>299000</v>
      </c>
      <c r="G36" s="27" t="n">
        <f aca="false">CHOOSE(G4,Штат!$C$11,Штат!$D$11,Штат!$E$11)</f>
        <v>299000</v>
      </c>
      <c r="H36" s="27" t="n">
        <f aca="false">CHOOSE(H4,Штат!$C$11,Штат!$D$11,Штат!$E$11)</f>
        <v>299000</v>
      </c>
      <c r="I36" s="27" t="n">
        <f aca="false">CHOOSE(I4,Штат!$C$11,Штат!$D$11,Штат!$E$11)</f>
        <v>299000</v>
      </c>
      <c r="J36" s="27" t="n">
        <f aca="false">CHOOSE(J4,Штат!$C$11,Штат!$D$11,Штат!$E$11)</f>
        <v>299000</v>
      </c>
      <c r="K36" s="27" t="n">
        <f aca="false">CHOOSE(K4,Штат!$C$11,Штат!$D$11,Штат!$E$11)</f>
        <v>299000</v>
      </c>
      <c r="L36" s="27" t="n">
        <f aca="false">CHOOSE(L4,Штат!$C$11,Штат!$D$11,Штат!$E$11)</f>
        <v>299000</v>
      </c>
      <c r="M36" s="27" t="n">
        <f aca="false">CHOOSE(M4,Штат!$C$11,Штат!$D$11,Штат!$E$11)</f>
        <v>299000</v>
      </c>
      <c r="N36" s="27" t="n">
        <f aca="false">CHOOSE(N4,Штат!$C$11,Штат!$D$11,Штат!$E$11)</f>
        <v>637000</v>
      </c>
      <c r="O36" s="27" t="n">
        <f aca="false">CHOOSE(O4,Штат!$C$11,Штат!$D$11,Штат!$E$11)</f>
        <v>637000</v>
      </c>
      <c r="P36" s="27" t="n">
        <f aca="false">CHOOSE(P4,Штат!$C$11,Штат!$D$11,Штат!$E$11)</f>
        <v>637000</v>
      </c>
      <c r="Q36" s="27" t="n">
        <f aca="false">CHOOSE(Q4,Штат!$C$11,Штат!$D$11,Штат!$E$11)</f>
        <v>637000</v>
      </c>
      <c r="R36" s="27" t="n">
        <f aca="false">CHOOSE(R4,Штат!$C$11,Штат!$D$11,Штат!$E$11)</f>
        <v>637000</v>
      </c>
      <c r="S36" s="27" t="n">
        <f aca="false">CHOOSE(S4,Штат!$C$11,Штат!$D$11,Штат!$E$11)</f>
        <v>637000</v>
      </c>
      <c r="T36" s="27" t="n">
        <f aca="false">CHOOSE(T4,Штат!$C$11,Штат!$D$11,Штат!$E$11)</f>
        <v>637000</v>
      </c>
      <c r="U36" s="27" t="n">
        <f aca="false">CHOOSE(U4,Штат!$C$11,Штат!$D$11,Штат!$E$11)</f>
        <v>637000</v>
      </c>
      <c r="V36" s="27" t="n">
        <f aca="false">CHOOSE(V4,Штат!$C$11,Штат!$D$11,Штат!$E$11)</f>
        <v>637000</v>
      </c>
      <c r="W36" s="27" t="n">
        <f aca="false">CHOOSE(W4,Штат!$C$11,Штат!$D$11,Штат!$E$11)</f>
        <v>637000</v>
      </c>
      <c r="X36" s="27" t="n">
        <f aca="false">CHOOSE(X4,Штат!$C$11,Штат!$D$11,Штат!$E$11)</f>
        <v>637000</v>
      </c>
      <c r="Y36" s="27" t="n">
        <f aca="false">CHOOSE(Y4,Штат!$C$11,Штат!$D$11,Штат!$E$11)</f>
        <v>637000</v>
      </c>
      <c r="Z36" s="27" t="n">
        <f aca="false">CHOOSE(Z4,Штат!$C$11,Штат!$D$11,Штат!$E$11)</f>
        <v>923000</v>
      </c>
      <c r="AA36" s="27" t="n">
        <f aca="false">CHOOSE(AA4,Штат!$C$11,Штат!$D$11,Штат!$E$11)</f>
        <v>923000</v>
      </c>
      <c r="AB36" s="27" t="n">
        <f aca="false">CHOOSE(AB4,Штат!$C$11,Штат!$D$11,Штат!$E$11)</f>
        <v>923000</v>
      </c>
      <c r="AC36" s="27" t="n">
        <f aca="false">CHOOSE(AC4,Штат!$C$11,Штат!$D$11,Штат!$E$11)</f>
        <v>923000</v>
      </c>
      <c r="AD36" s="27" t="n">
        <f aca="false">CHOOSE(AD4,Штат!$C$11,Штат!$D$11,Штат!$E$11)</f>
        <v>923000</v>
      </c>
      <c r="AE36" s="27" t="n">
        <f aca="false">CHOOSE(AE4,Штат!$C$11,Штат!$D$11,Штат!$E$11)</f>
        <v>923000</v>
      </c>
      <c r="AF36" s="27" t="n">
        <f aca="false">CHOOSE(AF4,Штат!$C$11,Штат!$D$11,Штат!$E$11)</f>
        <v>923000</v>
      </c>
      <c r="AG36" s="27" t="n">
        <f aca="false">CHOOSE(AG4,Штат!$C$11,Штат!$D$11,Штат!$E$11)</f>
        <v>923000</v>
      </c>
      <c r="AH36" s="27" t="n">
        <f aca="false">CHOOSE(AH4,Штат!$C$11,Штат!$D$11,Штат!$E$11)</f>
        <v>923000</v>
      </c>
      <c r="AI36" s="27" t="n">
        <f aca="false">CHOOSE(AI4,Штат!$C$11,Штат!$D$11,Штат!$E$11)</f>
        <v>923000</v>
      </c>
      <c r="AJ36" s="27" t="n">
        <f aca="false">CHOOSE(AJ4,Штат!$C$11,Штат!$D$11,Штат!$E$11)</f>
        <v>923000</v>
      </c>
      <c r="AK36" s="27" t="n">
        <f aca="false">CHOOSE(AK4,Штат!$C$11,Штат!$D$11,Штат!$E$11)</f>
        <v>923000</v>
      </c>
    </row>
    <row r="37" customFormat="false" ht="15" hidden="false" customHeight="false" outlineLevel="0" collapsed="false">
      <c r="A37" s="5" t="s">
        <v>32</v>
      </c>
      <c r="B37" s="6" t="n">
        <f aca="false">CHOOSE(B4,Допущения!$B$45,Допущения!$B$46,Допущения!$B$47)</f>
        <v>150000</v>
      </c>
      <c r="C37" s="6" t="n">
        <f aca="false">CHOOSE(C4,Допущения!$B$45,Допущения!$B$46,Допущения!$B$47)</f>
        <v>150000</v>
      </c>
      <c r="D37" s="6" t="n">
        <f aca="false">CHOOSE(D4,Допущения!$B$45,Допущения!$B$46,Допущения!$B$47)</f>
        <v>150000</v>
      </c>
      <c r="E37" s="6" t="n">
        <f aca="false">CHOOSE(E4,Допущения!$B$45,Допущения!$B$46,Допущения!$B$47)</f>
        <v>150000</v>
      </c>
      <c r="F37" s="6" t="n">
        <f aca="false">CHOOSE(F4,Допущения!$B$45,Допущения!$B$46,Допущения!$B$47)</f>
        <v>150000</v>
      </c>
      <c r="G37" s="6" t="n">
        <f aca="false">CHOOSE(G4,Допущения!$B$45,Допущения!$B$46,Допущения!$B$47)</f>
        <v>150000</v>
      </c>
      <c r="H37" s="6" t="n">
        <f aca="false">CHOOSE(H4,Допущения!$B$45,Допущения!$B$46,Допущения!$B$47)</f>
        <v>150000</v>
      </c>
      <c r="I37" s="6" t="n">
        <f aca="false">CHOOSE(I4,Допущения!$B$45,Допущения!$B$46,Допущения!$B$47)</f>
        <v>150000</v>
      </c>
      <c r="J37" s="6" t="n">
        <f aca="false">CHOOSE(J4,Допущения!$B$45,Допущения!$B$46,Допущения!$B$47)</f>
        <v>150000</v>
      </c>
      <c r="K37" s="6" t="n">
        <f aca="false">CHOOSE(K4,Допущения!$B$45,Допущения!$B$46,Допущения!$B$47)</f>
        <v>150000</v>
      </c>
      <c r="L37" s="6" t="n">
        <f aca="false">CHOOSE(L4,Допущения!$B$45,Допущения!$B$46,Допущения!$B$47)</f>
        <v>150000</v>
      </c>
      <c r="M37" s="6" t="n">
        <f aca="false">CHOOSE(M4,Допущения!$B$45,Допущения!$B$46,Допущения!$B$47)</f>
        <v>150000</v>
      </c>
      <c r="N37" s="6" t="n">
        <f aca="false">CHOOSE(N4,Допущения!$B$45,Допущения!$B$46,Допущения!$B$47)</f>
        <v>300000</v>
      </c>
      <c r="O37" s="6" t="n">
        <f aca="false">CHOOSE(O4,Допущения!$B$45,Допущения!$B$46,Допущения!$B$47)</f>
        <v>300000</v>
      </c>
      <c r="P37" s="6" t="n">
        <f aca="false">CHOOSE(P4,Допущения!$B$45,Допущения!$B$46,Допущения!$B$47)</f>
        <v>300000</v>
      </c>
      <c r="Q37" s="6" t="n">
        <f aca="false">CHOOSE(Q4,Допущения!$B$45,Допущения!$B$46,Допущения!$B$47)</f>
        <v>300000</v>
      </c>
      <c r="R37" s="6" t="n">
        <f aca="false">CHOOSE(R4,Допущения!$B$45,Допущения!$B$46,Допущения!$B$47)</f>
        <v>300000</v>
      </c>
      <c r="S37" s="6" t="n">
        <f aca="false">CHOOSE(S4,Допущения!$B$45,Допущения!$B$46,Допущения!$B$47)</f>
        <v>300000</v>
      </c>
      <c r="T37" s="6" t="n">
        <f aca="false">CHOOSE(T4,Допущения!$B$45,Допущения!$B$46,Допущения!$B$47)</f>
        <v>300000</v>
      </c>
      <c r="U37" s="6" t="n">
        <f aca="false">CHOOSE(U4,Допущения!$B$45,Допущения!$B$46,Допущения!$B$47)</f>
        <v>300000</v>
      </c>
      <c r="V37" s="6" t="n">
        <f aca="false">CHOOSE(V4,Допущения!$B$45,Допущения!$B$46,Допущения!$B$47)</f>
        <v>300000</v>
      </c>
      <c r="W37" s="6" t="n">
        <f aca="false">CHOOSE(W4,Допущения!$B$45,Допущения!$B$46,Допущения!$B$47)</f>
        <v>300000</v>
      </c>
      <c r="X37" s="6" t="n">
        <f aca="false">CHOOSE(X4,Допущения!$B$45,Допущения!$B$46,Допущения!$B$47)</f>
        <v>300000</v>
      </c>
      <c r="Y37" s="6" t="n">
        <f aca="false">CHOOSE(Y4,Допущения!$B$45,Допущения!$B$46,Допущения!$B$47)</f>
        <v>300000</v>
      </c>
      <c r="Z37" s="6" t="n">
        <f aca="false">CHOOSE(Z4,Допущения!$B$45,Допущения!$B$46,Допущения!$B$47)</f>
        <v>400000</v>
      </c>
      <c r="AA37" s="6" t="n">
        <f aca="false">CHOOSE(AA4,Допущения!$B$45,Допущения!$B$46,Допущения!$B$47)</f>
        <v>400000</v>
      </c>
      <c r="AB37" s="6" t="n">
        <f aca="false">CHOOSE(AB4,Допущения!$B$45,Допущения!$B$46,Допущения!$B$47)</f>
        <v>400000</v>
      </c>
      <c r="AC37" s="6" t="n">
        <f aca="false">CHOOSE(AC4,Допущения!$B$45,Допущения!$B$46,Допущения!$B$47)</f>
        <v>400000</v>
      </c>
      <c r="AD37" s="6" t="n">
        <f aca="false">CHOOSE(AD4,Допущения!$B$45,Допущения!$B$46,Допущения!$B$47)</f>
        <v>400000</v>
      </c>
      <c r="AE37" s="6" t="n">
        <f aca="false">CHOOSE(AE4,Допущения!$B$45,Допущения!$B$46,Допущения!$B$47)</f>
        <v>400000</v>
      </c>
      <c r="AF37" s="6" t="n">
        <f aca="false">CHOOSE(AF4,Допущения!$B$45,Допущения!$B$46,Допущения!$B$47)</f>
        <v>400000</v>
      </c>
      <c r="AG37" s="6" t="n">
        <f aca="false">CHOOSE(AG4,Допущения!$B$45,Допущения!$B$46,Допущения!$B$47)</f>
        <v>400000</v>
      </c>
      <c r="AH37" s="6" t="n">
        <f aca="false">CHOOSE(AH4,Допущения!$B$45,Допущения!$B$46,Допущения!$B$47)</f>
        <v>400000</v>
      </c>
      <c r="AI37" s="6" t="n">
        <f aca="false">CHOOSE(AI4,Допущения!$B$45,Допущения!$B$46,Допущения!$B$47)</f>
        <v>400000</v>
      </c>
      <c r="AJ37" s="6" t="n">
        <f aca="false">CHOOSE(AJ4,Допущения!$B$45,Допущения!$B$46,Допущения!$B$47)</f>
        <v>400000</v>
      </c>
      <c r="AK37" s="6" t="n">
        <f aca="false">CHOOSE(AK4,Допущения!$B$45,Допущения!$B$46,Допущения!$B$47)</f>
        <v>400000</v>
      </c>
    </row>
    <row r="38" customFormat="false" ht="15" hidden="false" customHeight="false" outlineLevel="0" collapsed="false">
      <c r="A38" s="5" t="s">
        <v>147</v>
      </c>
      <c r="B38" s="6" t="n">
        <f aca="false">Допущения!$B$41+Допущения!$B$42+Допущения!$B$43+Допущения!$B$44</f>
        <v>55000</v>
      </c>
      <c r="C38" s="6" t="n">
        <f aca="false">Допущения!$B$41+Допущения!$B$42+Допущения!$B$43+Допущения!$B$44</f>
        <v>55000</v>
      </c>
      <c r="D38" s="6" t="n">
        <f aca="false">Допущения!$B$41+Допущения!$B$42+Допущения!$B$43+Допущения!$B$44</f>
        <v>55000</v>
      </c>
      <c r="E38" s="6" t="n">
        <f aca="false">Допущения!$B$41+Допущения!$B$42+Допущения!$B$43+Допущения!$B$44</f>
        <v>55000</v>
      </c>
      <c r="F38" s="6" t="n">
        <f aca="false">Допущения!$B$41+Допущения!$B$42+Допущения!$B$43+Допущения!$B$44</f>
        <v>55000</v>
      </c>
      <c r="G38" s="6" t="n">
        <f aca="false">Допущения!$B$41+Допущения!$B$42+Допущения!$B$43+Допущения!$B$44</f>
        <v>55000</v>
      </c>
      <c r="H38" s="6" t="n">
        <f aca="false">Допущения!$B$41+Допущения!$B$42+Допущения!$B$43+Допущения!$B$44</f>
        <v>55000</v>
      </c>
      <c r="I38" s="6" t="n">
        <f aca="false">Допущения!$B$41+Допущения!$B$42+Допущения!$B$43+Допущения!$B$44</f>
        <v>55000</v>
      </c>
      <c r="J38" s="6" t="n">
        <f aca="false">Допущения!$B$41+Допущения!$B$42+Допущения!$B$43+Допущения!$B$44</f>
        <v>55000</v>
      </c>
      <c r="K38" s="6" t="n">
        <f aca="false">Допущения!$B$41+Допущения!$B$42+Допущения!$B$43+Допущения!$B$44</f>
        <v>55000</v>
      </c>
      <c r="L38" s="6" t="n">
        <f aca="false">Допущения!$B$41+Допущения!$B$42+Допущения!$B$43+Допущения!$B$44</f>
        <v>55000</v>
      </c>
      <c r="M38" s="6" t="n">
        <f aca="false">Допущения!$B$41+Допущения!$B$42+Допущения!$B$43+Допущения!$B$44</f>
        <v>55000</v>
      </c>
      <c r="N38" s="6" t="n">
        <f aca="false">Допущения!$B$41+Допущения!$B$42+Допущения!$B$43+Допущения!$B$44</f>
        <v>55000</v>
      </c>
      <c r="O38" s="6" t="n">
        <f aca="false">Допущения!$B$41+Допущения!$B$42+Допущения!$B$43+Допущения!$B$44</f>
        <v>55000</v>
      </c>
      <c r="P38" s="6" t="n">
        <f aca="false">Допущения!$B$41+Допущения!$B$42+Допущения!$B$43+Допущения!$B$44</f>
        <v>55000</v>
      </c>
      <c r="Q38" s="6" t="n">
        <f aca="false">Допущения!$B$41+Допущения!$B$42+Допущения!$B$43+Допущения!$B$44</f>
        <v>55000</v>
      </c>
      <c r="R38" s="6" t="n">
        <f aca="false">Допущения!$B$41+Допущения!$B$42+Допущения!$B$43+Допущения!$B$44</f>
        <v>55000</v>
      </c>
      <c r="S38" s="6" t="n">
        <f aca="false">Допущения!$B$41+Допущения!$B$42+Допущения!$B$43+Допущения!$B$44</f>
        <v>55000</v>
      </c>
      <c r="T38" s="6" t="n">
        <f aca="false">Допущения!$B$41+Допущения!$B$42+Допущения!$B$43+Допущения!$B$44</f>
        <v>55000</v>
      </c>
      <c r="U38" s="6" t="n">
        <f aca="false">Допущения!$B$41+Допущения!$B$42+Допущения!$B$43+Допущения!$B$44</f>
        <v>55000</v>
      </c>
      <c r="V38" s="6" t="n">
        <f aca="false">Допущения!$B$41+Допущения!$B$42+Допущения!$B$43+Допущения!$B$44</f>
        <v>55000</v>
      </c>
      <c r="W38" s="6" t="n">
        <f aca="false">Допущения!$B$41+Допущения!$B$42+Допущения!$B$43+Допущения!$B$44</f>
        <v>55000</v>
      </c>
      <c r="X38" s="6" t="n">
        <f aca="false">Допущения!$B$41+Допущения!$B$42+Допущения!$B$43+Допущения!$B$44</f>
        <v>55000</v>
      </c>
      <c r="Y38" s="6" t="n">
        <f aca="false">Допущения!$B$41+Допущения!$B$42+Допущения!$B$43+Допущения!$B$44</f>
        <v>55000</v>
      </c>
      <c r="Z38" s="6" t="n">
        <f aca="false">Допущения!$B$41+Допущения!$B$42+Допущения!$B$43+Допущения!$B$44</f>
        <v>55000</v>
      </c>
      <c r="AA38" s="6" t="n">
        <f aca="false">Допущения!$B$41+Допущения!$B$42+Допущения!$B$43+Допущения!$B$44</f>
        <v>55000</v>
      </c>
      <c r="AB38" s="6" t="n">
        <f aca="false">Допущения!$B$41+Допущения!$B$42+Допущения!$B$43+Допущения!$B$44</f>
        <v>55000</v>
      </c>
      <c r="AC38" s="6" t="n">
        <f aca="false">Допущения!$B$41+Допущения!$B$42+Допущения!$B$43+Допущения!$B$44</f>
        <v>55000</v>
      </c>
      <c r="AD38" s="6" t="n">
        <f aca="false">Допущения!$B$41+Допущения!$B$42+Допущения!$B$43+Допущения!$B$44</f>
        <v>55000</v>
      </c>
      <c r="AE38" s="6" t="n">
        <f aca="false">Допущения!$B$41+Допущения!$B$42+Допущения!$B$43+Допущения!$B$44</f>
        <v>55000</v>
      </c>
      <c r="AF38" s="6" t="n">
        <f aca="false">Допущения!$B$41+Допущения!$B$42+Допущения!$B$43+Допущения!$B$44</f>
        <v>55000</v>
      </c>
      <c r="AG38" s="6" t="n">
        <f aca="false">Допущения!$B$41+Допущения!$B$42+Допущения!$B$43+Допущения!$B$44</f>
        <v>55000</v>
      </c>
      <c r="AH38" s="6" t="n">
        <f aca="false">Допущения!$B$41+Допущения!$B$42+Допущения!$B$43+Допущения!$B$44</f>
        <v>55000</v>
      </c>
      <c r="AI38" s="6" t="n">
        <f aca="false">Допущения!$B$41+Допущения!$B$42+Допущения!$B$43+Допущения!$B$44</f>
        <v>55000</v>
      </c>
      <c r="AJ38" s="6" t="n">
        <f aca="false">Допущения!$B$41+Допущения!$B$42+Допущения!$B$43+Допущения!$B$44</f>
        <v>55000</v>
      </c>
      <c r="AK38" s="6" t="n">
        <f aca="false">Допущения!$B$41+Допущения!$B$42+Допущения!$B$43+Допущения!$B$44</f>
        <v>55000</v>
      </c>
    </row>
    <row r="39" customFormat="false" ht="15" hidden="false" customHeight="false" outlineLevel="0" collapsed="false">
      <c r="A39" s="10" t="s">
        <v>34</v>
      </c>
      <c r="B39" s="12" t="n">
        <f aca="false">SUM(B32:B38)</f>
        <v>546985.35</v>
      </c>
      <c r="C39" s="12" t="n">
        <f aca="false">SUM(C32:C38)</f>
        <v>553433.1525</v>
      </c>
      <c r="D39" s="12" t="n">
        <f aca="false">SUM(D32:D38)</f>
        <v>560848.125375</v>
      </c>
      <c r="E39" s="12" t="n">
        <f aca="false">SUM(E32:E38)</f>
        <v>569375.34418125</v>
      </c>
      <c r="F39" s="12" t="n">
        <f aca="false">SUM(F32:F38)</f>
        <v>579181.645808438</v>
      </c>
      <c r="G39" s="12" t="n">
        <f aca="false">SUM(G32:G38)</f>
        <v>590458.892679703</v>
      </c>
      <c r="H39" s="12" t="n">
        <f aca="false">SUM(H32:H38)</f>
        <v>603427.726581659</v>
      </c>
      <c r="I39" s="12" t="n">
        <f aca="false">SUM(I32:I38)</f>
        <v>618341.885568907</v>
      </c>
      <c r="J39" s="12" t="n">
        <f aca="false">SUM(J32:J38)</f>
        <v>635493.168404243</v>
      </c>
      <c r="K39" s="12" t="n">
        <f aca="false">SUM(K32:K38)</f>
        <v>655217.14366488</v>
      </c>
      <c r="L39" s="12" t="n">
        <f aca="false">SUM(L32:L38)</f>
        <v>677899.715214612</v>
      </c>
      <c r="M39" s="12" t="n">
        <f aca="false">SUM(M32:M38)</f>
        <v>703984.672496804</v>
      </c>
      <c r="N39" s="12" t="n">
        <f aca="false">SUM(N32:N38)</f>
        <v>1174024.67845166</v>
      </c>
      <c r="O39" s="12" t="n">
        <f aca="false">SUM(O32:O38)</f>
        <v>1184946.15915876</v>
      </c>
      <c r="P39" s="12" t="n">
        <f aca="false">SUM(P32:P38)</f>
        <v>1196522.92870828</v>
      </c>
      <c r="Q39" s="12" t="n">
        <f aca="false">SUM(Q32:Q38)</f>
        <v>1208794.30443078</v>
      </c>
      <c r="R39" s="12" t="n">
        <f aca="false">SUM(R32:R38)</f>
        <v>1221801.96269663</v>
      </c>
      <c r="S39" s="12" t="n">
        <f aca="false">SUM(S32:S38)</f>
        <v>1235590.08045842</v>
      </c>
      <c r="T39" s="12" t="n">
        <f aca="false">SUM(T32:T38)</f>
        <v>1250205.48528593</v>
      </c>
      <c r="U39" s="12" t="n">
        <f aca="false">SUM(U32:U38)</f>
        <v>1265697.81440308</v>
      </c>
      <c r="V39" s="12" t="n">
        <f aca="false">SUM(V32:V38)</f>
        <v>1282119.68326727</v>
      </c>
      <c r="W39" s="12" t="n">
        <f aca="false">SUM(W32:W38)</f>
        <v>1299526.86426331</v>
      </c>
      <c r="X39" s="12" t="n">
        <f aca="false">SUM(X32:X38)</f>
        <v>1317978.4761191</v>
      </c>
      <c r="Y39" s="12" t="n">
        <f aca="false">SUM(Y32:Y38)</f>
        <v>1337537.18468625</v>
      </c>
      <c r="Z39" s="12" t="n">
        <f aca="false">SUM(Z32:Z38)</f>
        <v>1733903.30022684</v>
      </c>
      <c r="AA39" s="12" t="n">
        <f aca="false">SUM(AA32:AA38)</f>
        <v>1744580.39923364</v>
      </c>
      <c r="AB39" s="12" t="n">
        <f aca="false">SUM(AB32:AB38)</f>
        <v>1755577.81121065</v>
      </c>
      <c r="AC39" s="12" t="n">
        <f aca="false">SUM(AC32:AC38)</f>
        <v>1766905.14554697</v>
      </c>
      <c r="AD39" s="12" t="n">
        <f aca="false">SUM(AD32:AD38)</f>
        <v>1778572.29991338</v>
      </c>
      <c r="AE39" s="12" t="n">
        <f aca="false">SUM(AE32:AE38)</f>
        <v>1790589.46891078</v>
      </c>
      <c r="AF39" s="12" t="n">
        <f aca="false">SUM(AF32:AF38)</f>
        <v>1802967.15297811</v>
      </c>
      <c r="AG39" s="12" t="n">
        <f aca="false">SUM(AG32:AG38)</f>
        <v>1815716.16756745</v>
      </c>
      <c r="AH39" s="12" t="n">
        <f aca="false">SUM(AH32:AH38)</f>
        <v>1828847.65259447</v>
      </c>
      <c r="AI39" s="12" t="n">
        <f aca="false">SUM(AI32:AI38)</f>
        <v>1842373.08217231</v>
      </c>
      <c r="AJ39" s="12" t="n">
        <f aca="false">SUM(AJ32:AJ38)</f>
        <v>1856304.27463748</v>
      </c>
      <c r="AK39" s="12" t="n">
        <f aca="false">SUM(AK32:AK38)</f>
        <v>1870653.4028766</v>
      </c>
    </row>
    <row r="40" customFormat="false" ht="15" hidden="false" customHeight="false" outlineLevel="0" collapsed="false">
      <c r="A40" s="10" t="s">
        <v>35</v>
      </c>
      <c r="B40" s="12" t="n">
        <f aca="false">B30-B39</f>
        <v>-325270.35</v>
      </c>
      <c r="C40" s="12" t="n">
        <f aca="false">C30-C39</f>
        <v>-298460.9025</v>
      </c>
      <c r="D40" s="12" t="n">
        <f aca="false">D30-D39</f>
        <v>-267630.037875</v>
      </c>
      <c r="E40" s="12" t="n">
        <f aca="false">E30-E39</f>
        <v>-232174.54355625</v>
      </c>
      <c r="F40" s="12" t="n">
        <f aca="false">F30-F39</f>
        <v>-191400.725089688</v>
      </c>
      <c r="G40" s="12" t="n">
        <f aca="false">G30-G39</f>
        <v>-144510.833853141</v>
      </c>
      <c r="H40" s="12" t="n">
        <f aca="false">H30-H39</f>
        <v>-90587.458931112</v>
      </c>
      <c r="I40" s="12" t="n">
        <f aca="false">I30-I39</f>
        <v>-28575.5777707788</v>
      </c>
      <c r="J40" s="12" t="n">
        <f aca="false">J30-J39</f>
        <v>42738.0855636045</v>
      </c>
      <c r="K40" s="12" t="n">
        <f aca="false">K30-K39</f>
        <v>124748.798398145</v>
      </c>
      <c r="L40" s="12" t="n">
        <f aca="false">L30-L39</f>
        <v>219061.118157867</v>
      </c>
      <c r="M40" s="12" t="n">
        <f aca="false">M30-M39</f>
        <v>327520.285881547</v>
      </c>
      <c r="N40" s="12" t="n">
        <f aca="false">N30-N39</f>
        <v>-80629.4225706058</v>
      </c>
      <c r="O40" s="12" t="n">
        <f aca="false">O30-O39</f>
        <v>-25947.1879248421</v>
      </c>
      <c r="P40" s="12" t="n">
        <f aca="false">P30-P39</f>
        <v>32015.9807996673</v>
      </c>
      <c r="Q40" s="12" t="n">
        <f aca="false">Q30-Q39</f>
        <v>93456.9396476473</v>
      </c>
      <c r="R40" s="12" t="n">
        <f aca="false">R30-R39</f>
        <v>158584.356026506</v>
      </c>
      <c r="S40" s="12" t="n">
        <f aca="false">S30-S39</f>
        <v>227619.417388097</v>
      </c>
      <c r="T40" s="12" t="n">
        <f aca="false">T30-T39</f>
        <v>300796.582431383</v>
      </c>
      <c r="U40" s="12" t="n">
        <f aca="false">U30-U39</f>
        <v>378364.377377266</v>
      </c>
      <c r="V40" s="12" t="n">
        <f aca="false">V30-V39</f>
        <v>460586.240019902</v>
      </c>
      <c r="W40" s="12" t="n">
        <f aca="false">W30-W39</f>
        <v>547741.414421096</v>
      </c>
      <c r="X40" s="12" t="n">
        <f aca="false">X30-X39</f>
        <v>640125.899286362</v>
      </c>
      <c r="Y40" s="12" t="n">
        <f aca="false">Y30-Y39</f>
        <v>738053.453243544</v>
      </c>
      <c r="Z40" s="12" t="n">
        <f aca="false">Z30-Z39</f>
        <v>403955.05684085</v>
      </c>
      <c r="AA40" s="12" t="n">
        <f aca="false">AA30-AA39</f>
        <v>457413.708546075</v>
      </c>
      <c r="AB40" s="12" t="n">
        <f aca="false">AB30-AB39</f>
        <v>512476.119802458</v>
      </c>
      <c r="AC40" s="12" t="n">
        <f aca="false">AC30-AC39</f>
        <v>569190.403396531</v>
      </c>
      <c r="AD40" s="12" t="n">
        <f aca="false">AD30-AD39</f>
        <v>627606.115498428</v>
      </c>
      <c r="AE40" s="12" t="n">
        <f aca="false">AE30-AE39</f>
        <v>687774.29896338</v>
      </c>
      <c r="AF40" s="12" t="n">
        <f aca="false">AF30-AF39</f>
        <v>749747.527932282</v>
      </c>
      <c r="AG40" s="12" t="n">
        <f aca="false">AG30-AG39</f>
        <v>813579.95377025</v>
      </c>
      <c r="AH40" s="12" t="n">
        <f aca="false">AH30-AH39</f>
        <v>879327.352383358</v>
      </c>
      <c r="AI40" s="12" t="n">
        <f aca="false">AI30-AI39</f>
        <v>947047.172954859</v>
      </c>
      <c r="AJ40" s="12" t="n">
        <f aca="false">AJ30-AJ39</f>
        <v>1016798.5881435</v>
      </c>
      <c r="AK40" s="12" t="n">
        <f aca="false">AK30-AK39</f>
        <v>1088642.54578781</v>
      </c>
    </row>
    <row r="41" customFormat="false" ht="15" hidden="false" customHeight="false" outlineLevel="0" collapsed="false">
      <c r="A41" s="10" t="s">
        <v>148</v>
      </c>
      <c r="B41" s="12" t="n">
        <f aca="false">B40</f>
        <v>-325270.35</v>
      </c>
      <c r="C41" s="12" t="n">
        <f aca="false">B41+C40</f>
        <v>-623731.2525</v>
      </c>
      <c r="D41" s="12" t="n">
        <f aca="false">C41+D40</f>
        <v>-891361.290375</v>
      </c>
      <c r="E41" s="12" t="n">
        <f aca="false">D41+E40</f>
        <v>-1123535.83393125</v>
      </c>
      <c r="F41" s="12" t="n">
        <f aca="false">E41+F40</f>
        <v>-1314936.55902094</v>
      </c>
      <c r="G41" s="12" t="n">
        <f aca="false">F41+G40</f>
        <v>-1459447.39287408</v>
      </c>
      <c r="H41" s="12" t="n">
        <f aca="false">G41+H40</f>
        <v>-1550034.85180519</v>
      </c>
      <c r="I41" s="12" t="n">
        <f aca="false">H41+I40</f>
        <v>-1578610.42957597</v>
      </c>
      <c r="J41" s="12" t="n">
        <f aca="false">I41+J40</f>
        <v>-1535872.34401237</v>
      </c>
      <c r="K41" s="12" t="n">
        <f aca="false">J41+K40</f>
        <v>-1411123.54561422</v>
      </c>
      <c r="L41" s="12" t="n">
        <f aca="false">K41+L40</f>
        <v>-1192062.42745635</v>
      </c>
      <c r="M41" s="12" t="n">
        <f aca="false">L41+M40</f>
        <v>-864542.141574806</v>
      </c>
      <c r="N41" s="12" t="n">
        <f aca="false">M41+N40</f>
        <v>-945171.564145412</v>
      </c>
      <c r="O41" s="12" t="n">
        <f aca="false">N41+O40</f>
        <v>-971118.752070254</v>
      </c>
      <c r="P41" s="12" t="n">
        <f aca="false">O41+P40</f>
        <v>-939102.771270587</v>
      </c>
      <c r="Q41" s="12" t="n">
        <f aca="false">P41+Q40</f>
        <v>-845645.83162294</v>
      </c>
      <c r="R41" s="12" t="n">
        <f aca="false">Q41+R40</f>
        <v>-687061.475596433</v>
      </c>
      <c r="S41" s="12" t="n">
        <f aca="false">R41+S40</f>
        <v>-459442.058208336</v>
      </c>
      <c r="T41" s="12" t="n">
        <f aca="false">S41+T40</f>
        <v>-158645.475776954</v>
      </c>
      <c r="U41" s="12" t="n">
        <f aca="false">T41+U40</f>
        <v>219718.901600312</v>
      </c>
      <c r="V41" s="12" t="n">
        <f aca="false">U41+V40</f>
        <v>680305.141620214</v>
      </c>
      <c r="W41" s="12" t="n">
        <f aca="false">V41+W40</f>
        <v>1228046.55604131</v>
      </c>
      <c r="X41" s="12" t="n">
        <f aca="false">W41+X40</f>
        <v>1868172.45532767</v>
      </c>
      <c r="Y41" s="12" t="n">
        <f aca="false">X41+Y40</f>
        <v>2606225.90857122</v>
      </c>
      <c r="Z41" s="12" t="n">
        <f aca="false">Y41+Z40</f>
        <v>3010180.96541207</v>
      </c>
      <c r="AA41" s="12" t="n">
        <f aca="false">Z41+AA40</f>
        <v>3467594.67395814</v>
      </c>
      <c r="AB41" s="12" t="n">
        <f aca="false">AA41+AB40</f>
        <v>3980070.7937606</v>
      </c>
      <c r="AC41" s="12" t="n">
        <f aca="false">AB41+AC40</f>
        <v>4549261.19715713</v>
      </c>
      <c r="AD41" s="12" t="n">
        <f aca="false">AC41+AD40</f>
        <v>5176867.31265556</v>
      </c>
      <c r="AE41" s="12" t="n">
        <f aca="false">AD41+AE40</f>
        <v>5864641.61161894</v>
      </c>
      <c r="AF41" s="12" t="n">
        <f aca="false">AE41+AF40</f>
        <v>6614389.13955122</v>
      </c>
      <c r="AG41" s="12" t="n">
        <f aca="false">AF41+AG40</f>
        <v>7427969.09332147</v>
      </c>
      <c r="AH41" s="12" t="n">
        <f aca="false">AG41+AH40</f>
        <v>8307296.44570483</v>
      </c>
      <c r="AI41" s="12" t="n">
        <f aca="false">AH41+AI40</f>
        <v>9254343.61865969</v>
      </c>
      <c r="AJ41" s="12" t="n">
        <f aca="false">AI41+AJ40</f>
        <v>10271142.2068032</v>
      </c>
      <c r="AK41" s="12" t="n">
        <f aca="false">AJ41+AK40</f>
        <v>11359784.752591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5" hidden="false" customHeight="false" outlineLevel="0" collapsed="false">
      <c r="A43" s="26" t="s">
        <v>149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2026-10-30T07:51:38Z</dcterms:created>
  <dc:creator>openpyxl</dc:creator>
  <dc:description/>
  <dc:language>en-US</dc:language>
  <cp:lastModifiedBy/>
  <dcterms:modified xsi:type="dcterms:W3CDTF">2026-10-30T07:51:39Z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